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D6D0A8B4-9B05-4E3F-81B4-B488F62C7B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L5" i="1"/>
  <c r="K6" i="1"/>
  <c r="L6" i="1"/>
  <c r="K7" i="1"/>
  <c r="L7" i="1"/>
  <c r="K8" i="1"/>
  <c r="L8" i="1"/>
  <c r="K9" i="1"/>
  <c r="L9" i="1"/>
  <c r="K10" i="1"/>
  <c r="K11" i="1"/>
</calcChain>
</file>

<file path=xl/sharedStrings.xml><?xml version="1.0" encoding="utf-8"?>
<sst xmlns="http://schemas.openxmlformats.org/spreadsheetml/2006/main" count="51" uniqueCount="34">
  <si>
    <t>Marketing</t>
  </si>
  <si>
    <t>Mayur</t>
  </si>
  <si>
    <t>IT</t>
  </si>
  <si>
    <t>Lakshit</t>
  </si>
  <si>
    <t>Sagar</t>
  </si>
  <si>
    <t>HealthCare</t>
  </si>
  <si>
    <t>Aryaman</t>
  </si>
  <si>
    <t>HR</t>
  </si>
  <si>
    <t>Vishwa</t>
  </si>
  <si>
    <t>Mahir</t>
  </si>
  <si>
    <t>Laksh</t>
  </si>
  <si>
    <t>Avani</t>
  </si>
  <si>
    <t>Devanshu</t>
  </si>
  <si>
    <t>Finance</t>
  </si>
  <si>
    <t>Neel</t>
  </si>
  <si>
    <t xml:space="preserve">Bhumi </t>
  </si>
  <si>
    <t>Total Employee</t>
  </si>
  <si>
    <t>Dhara</t>
  </si>
  <si>
    <t>Average Salary</t>
  </si>
  <si>
    <t>Parth</t>
  </si>
  <si>
    <t>Healthcare</t>
  </si>
  <si>
    <t>Bhumika</t>
  </si>
  <si>
    <t>Dhruvika</t>
  </si>
  <si>
    <t>Harshal</t>
  </si>
  <si>
    <t>Kirtan</t>
  </si>
  <si>
    <t>Nitya</t>
  </si>
  <si>
    <t>Total Employees Per Department</t>
  </si>
  <si>
    <t>Total Salary</t>
  </si>
  <si>
    <t>Departments</t>
  </si>
  <si>
    <t>Salary</t>
  </si>
  <si>
    <t>Department</t>
  </si>
  <si>
    <t>Employee Name</t>
  </si>
  <si>
    <t>Analysis Table</t>
  </si>
  <si>
    <t>Employee - Department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</si>
</sst>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0099"/>
      <name val="Calibri"/>
      <family val="2"/>
      <scheme val="minor"/>
    </font>
    <font>
      <b/>
      <sz val="11"/>
      <color rgb="FF000099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b/>
      <sz val="15"/>
      <color rgb="FF002060"/>
      <name val="Calibri"/>
      <family val="2"/>
      <scheme val="minor"/>
    </font>
    <font>
      <sz val="12"/>
      <color theme="7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F9FF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E1F4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9">
    <xf numFmtId="0" fontId="0" fillId="0" borderId="0" xfId="0"/>
    <xf numFmtId="0" fontId="3" fillId="2" borderId="3" xfId="0" applyFont="1" applyFill="1" applyBorder="1"/>
    <xf numFmtId="0" fontId="3" fillId="0" borderId="0" xfId="0" applyFont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4" borderId="3" xfId="0" applyFont="1" applyFill="1" applyBorder="1"/>
    <xf numFmtId="0" fontId="6" fillId="5" borderId="3" xfId="2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8" fillId="0" borderId="0" xfId="0" applyFont="1"/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L22"/>
  <sheetViews>
    <sheetView tabSelected="1" topLeftCell="B1" workbookViewId="0">
      <selection activeCell="L14" sqref="L14"/>
    </sheetView>
  </sheetViews>
  <sheetFormatPr defaultRowHeight="14.5" x14ac:dyDescent="0.35"/>
  <cols>
    <col min="6" max="6" width="15.81640625" bestFit="1" customWidth="1"/>
    <col min="7" max="7" width="11.90625" bestFit="1" customWidth="1"/>
    <col min="10" max="10" width="13.81640625" bestFit="1" customWidth="1"/>
    <col min="11" max="11" width="11.453125" bestFit="1" customWidth="1"/>
    <col min="12" max="12" width="31.36328125" bestFit="1" customWidth="1"/>
  </cols>
  <sheetData>
    <row r="2" spans="5:12" ht="15.5" x14ac:dyDescent="0.35">
      <c r="E2" s="8"/>
    </row>
    <row r="3" spans="5:12" ht="19.5" x14ac:dyDescent="0.45">
      <c r="E3" s="2"/>
      <c r="F3" s="7" t="s">
        <v>33</v>
      </c>
      <c r="G3" s="7"/>
      <c r="H3" s="7"/>
      <c r="J3" s="7" t="s">
        <v>32</v>
      </c>
      <c r="K3" s="7"/>
      <c r="L3" s="7"/>
    </row>
    <row r="4" spans="5:12" ht="15.5" x14ac:dyDescent="0.35">
      <c r="E4" s="2"/>
      <c r="F4" s="6" t="s">
        <v>31</v>
      </c>
      <c r="G4" s="6" t="s">
        <v>30</v>
      </c>
      <c r="H4" s="6" t="s">
        <v>29</v>
      </c>
      <c r="J4" s="6" t="s">
        <v>28</v>
      </c>
      <c r="K4" s="6" t="s">
        <v>27</v>
      </c>
      <c r="L4" s="6" t="s">
        <v>26</v>
      </c>
    </row>
    <row r="5" spans="5:12" x14ac:dyDescent="0.35">
      <c r="E5" s="2"/>
      <c r="F5" s="1" t="s">
        <v>25</v>
      </c>
      <c r="G5" s="1" t="s">
        <v>2</v>
      </c>
      <c r="H5" s="1">
        <v>90000</v>
      </c>
      <c r="J5" s="1" t="s">
        <v>7</v>
      </c>
      <c r="K5" s="1">
        <f>SUMIF(G5:G22,G9,H5:H22)</f>
        <v>297000</v>
      </c>
      <c r="L5" s="1">
        <f>COUNTIF(G5:G22,"HR")</f>
        <v>5</v>
      </c>
    </row>
    <row r="6" spans="5:12" x14ac:dyDescent="0.35">
      <c r="E6" s="2"/>
      <c r="F6" s="1" t="s">
        <v>24</v>
      </c>
      <c r="G6" s="1" t="s">
        <v>2</v>
      </c>
      <c r="H6" s="1">
        <v>85000</v>
      </c>
      <c r="J6" s="1" t="s">
        <v>2</v>
      </c>
      <c r="K6" s="1">
        <f>SUMIF(G5:G22,G6,H5:H22)</f>
        <v>307000</v>
      </c>
      <c r="L6" s="1">
        <f>COUNTIF(G5:G22,"IT")</f>
        <v>4</v>
      </c>
    </row>
    <row r="7" spans="5:12" x14ac:dyDescent="0.35">
      <c r="E7" s="2"/>
      <c r="F7" s="1" t="s">
        <v>23</v>
      </c>
      <c r="G7" s="1" t="s">
        <v>0</v>
      </c>
      <c r="H7" s="1">
        <v>76000</v>
      </c>
      <c r="J7" s="1" t="s">
        <v>13</v>
      </c>
      <c r="K7" s="1">
        <f>SUMIF(G5:G22,G13,H5:H22)</f>
        <v>127000</v>
      </c>
      <c r="L7" s="1">
        <f>COUNTIF(G5:G22,"Finance")</f>
        <v>2</v>
      </c>
    </row>
    <row r="8" spans="5:12" x14ac:dyDescent="0.35">
      <c r="E8" s="2"/>
      <c r="F8" s="1" t="s">
        <v>22</v>
      </c>
      <c r="G8" s="1" t="s">
        <v>13</v>
      </c>
      <c r="H8" s="1">
        <v>60000</v>
      </c>
      <c r="J8" s="1" t="s">
        <v>0</v>
      </c>
      <c r="K8" s="1">
        <f>SUMIF(G5:G22,G20,H5:H22)</f>
        <v>253000</v>
      </c>
      <c r="L8" s="1">
        <f>COUNTIF(G5:G22,"Marketing")</f>
        <v>4</v>
      </c>
    </row>
    <row r="9" spans="5:12" x14ac:dyDescent="0.35">
      <c r="E9" s="2"/>
      <c r="F9" s="1" t="s">
        <v>21</v>
      </c>
      <c r="G9" s="1" t="s">
        <v>7</v>
      </c>
      <c r="H9" s="1">
        <v>23000</v>
      </c>
      <c r="J9" s="1" t="s">
        <v>20</v>
      </c>
      <c r="K9" s="1">
        <f>SUMIF(G5:G22,G19,H5:H22)</f>
        <v>163000</v>
      </c>
      <c r="L9" s="1">
        <f>COUNTIF(G5:G22,"HealthCare")</f>
        <v>3</v>
      </c>
    </row>
    <row r="10" spans="5:12" x14ac:dyDescent="0.35">
      <c r="E10" s="2"/>
      <c r="F10" s="1" t="s">
        <v>19</v>
      </c>
      <c r="G10" s="1" t="s">
        <v>0</v>
      </c>
      <c r="H10" s="1">
        <v>33000</v>
      </c>
      <c r="J10" s="5" t="s">
        <v>18</v>
      </c>
      <c r="K10" s="4">
        <f>AVERAGE(H5:H22)</f>
        <v>63722.222222222219</v>
      </c>
      <c r="L10" s="3"/>
    </row>
    <row r="11" spans="5:12" x14ac:dyDescent="0.35">
      <c r="E11" s="2"/>
      <c r="F11" s="1" t="s">
        <v>17</v>
      </c>
      <c r="G11" s="1" t="s">
        <v>7</v>
      </c>
      <c r="H11" s="1">
        <v>44000</v>
      </c>
      <c r="J11" s="5" t="s">
        <v>16</v>
      </c>
      <c r="K11" s="4">
        <f>COUNT(H5:H22)</f>
        <v>18</v>
      </c>
      <c r="L11" s="3"/>
    </row>
    <row r="12" spans="5:12" x14ac:dyDescent="0.35">
      <c r="E12" s="2"/>
      <c r="F12" s="1" t="s">
        <v>15</v>
      </c>
      <c r="G12" s="1" t="s">
        <v>5</v>
      </c>
      <c r="H12" s="1">
        <v>58000</v>
      </c>
    </row>
    <row r="13" spans="5:12" x14ac:dyDescent="0.35">
      <c r="E13" s="2"/>
      <c r="F13" s="1" t="s">
        <v>14</v>
      </c>
      <c r="G13" s="1" t="s">
        <v>13</v>
      </c>
      <c r="H13" s="1">
        <v>67000</v>
      </c>
    </row>
    <row r="14" spans="5:12" x14ac:dyDescent="0.35">
      <c r="E14" s="2"/>
      <c r="F14" s="1" t="s">
        <v>12</v>
      </c>
      <c r="G14" s="1" t="s">
        <v>7</v>
      </c>
      <c r="H14" s="1">
        <v>69000</v>
      </c>
    </row>
    <row r="15" spans="5:12" x14ac:dyDescent="0.35">
      <c r="E15" s="2"/>
      <c r="F15" s="1" t="s">
        <v>11</v>
      </c>
      <c r="G15" s="1" t="s">
        <v>7</v>
      </c>
      <c r="H15" s="1">
        <v>72000</v>
      </c>
    </row>
    <row r="16" spans="5:12" x14ac:dyDescent="0.35">
      <c r="E16" s="2"/>
      <c r="F16" s="1" t="s">
        <v>10</v>
      </c>
      <c r="G16" s="1" t="s">
        <v>2</v>
      </c>
      <c r="H16" s="1">
        <v>70000</v>
      </c>
    </row>
    <row r="17" spans="5:8" x14ac:dyDescent="0.35">
      <c r="E17" s="2"/>
      <c r="F17" s="1" t="s">
        <v>9</v>
      </c>
      <c r="G17" s="1" t="s">
        <v>5</v>
      </c>
      <c r="H17" s="1">
        <v>65000</v>
      </c>
    </row>
    <row r="18" spans="5:8" x14ac:dyDescent="0.35">
      <c r="E18" s="2"/>
      <c r="F18" s="1" t="s">
        <v>8</v>
      </c>
      <c r="G18" s="1" t="s">
        <v>7</v>
      </c>
      <c r="H18" s="1">
        <v>89000</v>
      </c>
    </row>
    <row r="19" spans="5:8" x14ac:dyDescent="0.35">
      <c r="E19" s="2"/>
      <c r="F19" s="1" t="s">
        <v>6</v>
      </c>
      <c r="G19" s="1" t="s">
        <v>5</v>
      </c>
      <c r="H19" s="1">
        <v>40000</v>
      </c>
    </row>
    <row r="20" spans="5:8" x14ac:dyDescent="0.35">
      <c r="E20" s="2"/>
      <c r="F20" s="1" t="s">
        <v>4</v>
      </c>
      <c r="G20" s="1" t="s">
        <v>0</v>
      </c>
      <c r="H20" s="1">
        <v>87000</v>
      </c>
    </row>
    <row r="21" spans="5:8" x14ac:dyDescent="0.35">
      <c r="F21" s="1" t="s">
        <v>3</v>
      </c>
      <c r="G21" s="1" t="s">
        <v>2</v>
      </c>
      <c r="H21" s="1">
        <v>62000</v>
      </c>
    </row>
    <row r="22" spans="5:8" x14ac:dyDescent="0.35">
      <c r="F22" s="1" t="s">
        <v>1</v>
      </c>
      <c r="G22" s="1" t="s">
        <v>0</v>
      </c>
      <c r="H22" s="1">
        <v>57000</v>
      </c>
    </row>
  </sheetData>
  <mergeCells count="4">
    <mergeCell ref="F3:H3"/>
    <mergeCell ref="J3:L3"/>
    <mergeCell ref="K10:L10"/>
    <mergeCell ref="K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2026-06-24T16:58:26Z</dcterms:modified>
</cp:coreProperties>
</file>