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\Documents\"/>
    </mc:Choice>
  </mc:AlternateContent>
  <xr:revisionPtr revIDLastSave="0" documentId="13_ncr:1_{5BCB9F43-1B76-44CC-81F2-55FB24E4D2A1}" xr6:coauthVersionLast="47" xr6:coauthVersionMax="47" xr10:uidLastSave="{00000000-0000-0000-0000-000000000000}"/>
  <bookViews>
    <workbookView xWindow="-110" yWindow="-110" windowWidth="19420" windowHeight="10300" xr2:uid="{2AC42DF0-B178-46F3-BC50-4EFA856F5C8C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3" l="1"/>
  <c r="G11" i="3"/>
  <c r="D11" i="3"/>
  <c r="G6" i="3"/>
  <c r="C9" i="2"/>
  <c r="D6" i="3"/>
  <c r="C19" i="2"/>
  <c r="D14" i="2"/>
  <c r="C14" i="2"/>
  <c r="E14" i="2" s="1"/>
  <c r="G9" i="2"/>
  <c r="F26" i="1"/>
  <c r="F21" i="1"/>
  <c r="C21" i="1"/>
  <c r="F16" i="1"/>
  <c r="C16" i="1"/>
  <c r="F14" i="2" l="1"/>
</calcChain>
</file>

<file path=xl/sharedStrings.xml><?xml version="1.0" encoding="utf-8"?>
<sst xmlns="http://schemas.openxmlformats.org/spreadsheetml/2006/main" count="126" uniqueCount="70">
  <si>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</si>
  <si>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</si>
  <si>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</si>
  <si>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</si>
  <si>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</si>
  <si>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</si>
  <si>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</si>
  <si>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</si>
  <si>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</si>
  <si>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</si>
  <si>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</si>
  <si>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</si>
  <si>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</si>
  <si>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</si>
  <si>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</si>
  <si>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</si>
  <si>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</si>
  <si>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</si>
  <si>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</si>
  <si>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</si>
  <si>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</si>
  <si>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</si>
  <si>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</si>
  <si>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</si>
  <si>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</si>
  <si>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</si>
  <si>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</si>
  <si>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</si>
  <si>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</si>
  <si>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</si>
  <si>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</si>
  <si>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</si>
  <si>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</si>
  <si>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Employee Id</t>
  </si>
  <si>
    <t>Find Department</t>
  </si>
  <si>
    <t>Employee ID</t>
  </si>
  <si>
    <t>Department Name</t>
  </si>
  <si>
    <t>Find Salary</t>
  </si>
  <si>
    <t>Employee Name</t>
  </si>
  <si>
    <t>Find Location</t>
  </si>
  <si>
    <t>Find Employee ID</t>
  </si>
  <si>
    <t>Id to find</t>
  </si>
  <si>
    <t>Found or Not</t>
  </si>
  <si>
    <t>Find Joining Year</t>
  </si>
  <si>
    <t>Joining Year</t>
  </si>
  <si>
    <t>Bonus %</t>
  </si>
  <si>
    <t>Find Bonus %</t>
  </si>
  <si>
    <t>Find Bonus Amount</t>
  </si>
  <si>
    <t>Bonus Amount</t>
  </si>
  <si>
    <t>Bonus%</t>
  </si>
  <si>
    <t>V</t>
  </si>
  <si>
    <t xml:space="preserve">X Look Up Task : 11 to 15 </t>
  </si>
  <si>
    <t>Task 11 :-</t>
  </si>
  <si>
    <t>Task 12 :-</t>
  </si>
  <si>
    <t>Task 13 :-</t>
  </si>
  <si>
    <t>Task 14 :</t>
  </si>
  <si>
    <t>Task 15 :-</t>
  </si>
  <si>
    <t>Task 6 :-</t>
  </si>
  <si>
    <t>Task 7 :-</t>
  </si>
  <si>
    <t>Task 8 :-</t>
  </si>
  <si>
    <t>H Look Up Task : 7 to 10</t>
  </si>
  <si>
    <t>Task 9 :-</t>
  </si>
  <si>
    <t>V Look Up Task 1 to 6 :</t>
  </si>
  <si>
    <t>Task 1 :-</t>
  </si>
  <si>
    <t>Find Employee Name</t>
  </si>
  <si>
    <t>Task 2 :-</t>
  </si>
  <si>
    <t>Task 3 :-</t>
  </si>
  <si>
    <t>Task 4 :-</t>
  </si>
  <si>
    <t>Task 5 :-</t>
  </si>
  <si>
    <t>Task 9-10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</si>
</sst>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rgb="FF010409"/>
      <name val="Segoe UI"/>
      <family val="2"/>
    </font>
    <font>
      <b/>
      <sz val="10"/>
      <color rgb="FF010409"/>
      <name val="Segoe UI"/>
      <family val="2"/>
    </font>
    <font>
      <sz val="10"/>
      <color rgb="FF010409"/>
      <name val="Segoe UI"/>
      <family val="2"/>
    </font>
    <font>
      <b/>
      <sz val="11"/>
      <color rgb="FF010409"/>
      <name val="Segoe UI"/>
      <family val="2"/>
    </font>
    <font>
      <b/>
      <sz val="10"/>
      <color rgb="FFFFFFE7"/>
      <name val="Segoe UI"/>
      <family val="2"/>
    </font>
    <font>
      <b/>
      <sz val="8"/>
      <color rgb="FFFFFFE7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F5FBF3"/>
        <bgColor indexed="64"/>
      </patternFill>
    </fill>
    <fill>
      <patternFill patternType="solid">
        <fgColor rgb="FFFAEA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 indent="1"/>
    </xf>
    <xf numFmtId="9" fontId="4" fillId="4" borderId="1" xfId="0" applyNumberFormat="1" applyFont="1" applyFill="1" applyBorder="1" applyAlignment="1">
      <alignment horizontal="right" vertical="center" wrapText="1" indent="1"/>
    </xf>
    <xf numFmtId="0" fontId="4" fillId="4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0" fontId="2" fillId="5" borderId="1" xfId="0" applyFont="1" applyFill="1" applyBorder="1"/>
    <xf numFmtId="0" fontId="0" fillId="0" borderId="0" xfId="0" applyFill="1"/>
    <xf numFmtId="0" fontId="0" fillId="6" borderId="1" xfId="0" applyFill="1" applyBorder="1"/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0" fillId="6" borderId="1" xfId="0" applyFill="1" applyBorder="1" applyAlignment="1">
      <alignment horizontal="left"/>
    </xf>
    <xf numFmtId="9" fontId="0" fillId="6" borderId="1" xfId="1" applyFont="1" applyFill="1" applyBorder="1" applyAlignment="1">
      <alignment horizontal="left"/>
    </xf>
    <xf numFmtId="9" fontId="0" fillId="6" borderId="1" xfId="1" applyFont="1" applyFill="1" applyBorder="1"/>
    <xf numFmtId="9" fontId="0" fillId="6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5FBF3"/>
      <color rgb="FFFAEAF8"/>
      <color rgb="FFF2F7FC"/>
      <color rgb="FFFAFDF9"/>
      <color rgb="FFD9F5FF"/>
      <color rgb="FFFF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5D40-2A05-49AE-BB97-683424644DE4}">
  <dimension ref="A1:I26"/>
  <sheetViews>
    <sheetView tabSelected="1" zoomScaleNormal="100" workbookViewId="0">
      <selection activeCell="H18" sqref="H18"/>
    </sheetView>
  </sheetViews>
  <sheetFormatPr defaultRowHeight="14.5" x14ac:dyDescent="0.35"/>
  <cols>
    <col min="2" max="2" width="14.36328125" bestFit="1" customWidth="1"/>
    <col min="3" max="3" width="13.453125" bestFit="1" customWidth="1"/>
    <col min="4" max="4" width="12.453125" bestFit="1" customWidth="1"/>
    <col min="5" max="5" width="11.1796875" bestFit="1" customWidth="1"/>
    <col min="6" max="6" width="16.1796875" bestFit="1" customWidth="1"/>
    <col min="7" max="7" width="12.26953125" bestFit="1" customWidth="1"/>
    <col min="10" max="10" width="11.90625" customWidth="1"/>
    <col min="12" max="12" width="13.90625" bestFit="1" customWidth="1"/>
    <col min="13" max="13" width="16.1796875" bestFit="1" customWidth="1"/>
  </cols>
  <sheetData>
    <row r="1" spans="1:9" x14ac:dyDescent="0.35">
      <c r="A1" s="3" t="s">
        <v>62</v>
      </c>
      <c r="B1" s="3"/>
      <c r="C1" s="1"/>
    </row>
    <row r="2" spans="1:9" x14ac:dyDescent="0.35">
      <c r="A2" s="2"/>
      <c r="B2" s="2"/>
      <c r="C2" s="1"/>
    </row>
    <row r="3" spans="1:9" ht="16" x14ac:dyDescent="0.35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</row>
    <row r="4" spans="1:9" ht="16" x14ac:dyDescent="0.35">
      <c r="B4" s="6" t="s">
        <v>6</v>
      </c>
      <c r="C4" s="7" t="s">
        <v>7</v>
      </c>
      <c r="D4" s="7" t="s">
        <v>8</v>
      </c>
      <c r="E4" s="7" t="s">
        <v>9</v>
      </c>
      <c r="F4" s="6">
        <v>45000</v>
      </c>
      <c r="G4" s="6">
        <v>2019</v>
      </c>
    </row>
    <row r="5" spans="1:9" ht="16" x14ac:dyDescent="0.35">
      <c r="B5" s="6" t="s">
        <v>10</v>
      </c>
      <c r="C5" s="7" t="s">
        <v>11</v>
      </c>
      <c r="D5" s="7" t="s">
        <v>12</v>
      </c>
      <c r="E5" s="7" t="s">
        <v>13</v>
      </c>
      <c r="F5" s="6">
        <v>52000</v>
      </c>
      <c r="G5" s="6">
        <v>2018</v>
      </c>
    </row>
    <row r="6" spans="1:9" ht="16" x14ac:dyDescent="0.35">
      <c r="B6" s="6" t="s">
        <v>14</v>
      </c>
      <c r="C6" s="7" t="s">
        <v>15</v>
      </c>
      <c r="D6" s="7" t="s">
        <v>16</v>
      </c>
      <c r="E6" s="7" t="s">
        <v>17</v>
      </c>
      <c r="F6" s="6">
        <v>65000</v>
      </c>
      <c r="G6" s="6">
        <v>2020</v>
      </c>
      <c r="I6" s="14"/>
    </row>
    <row r="7" spans="1:9" ht="16" x14ac:dyDescent="0.35">
      <c r="B7" s="6" t="s">
        <v>18</v>
      </c>
      <c r="C7" s="7" t="s">
        <v>19</v>
      </c>
      <c r="D7" s="7" t="s">
        <v>20</v>
      </c>
      <c r="E7" s="7" t="s">
        <v>21</v>
      </c>
      <c r="F7" s="6">
        <v>58000</v>
      </c>
      <c r="G7" s="6">
        <v>2017</v>
      </c>
    </row>
    <row r="8" spans="1:9" ht="16" x14ac:dyDescent="0.35">
      <c r="B8" s="6" t="s">
        <v>22</v>
      </c>
      <c r="C8" s="7" t="s">
        <v>23</v>
      </c>
      <c r="D8" s="7" t="s">
        <v>24</v>
      </c>
      <c r="E8" s="7" t="s">
        <v>9</v>
      </c>
      <c r="F8" s="6">
        <v>58000</v>
      </c>
      <c r="G8" s="6">
        <v>2021</v>
      </c>
    </row>
    <row r="9" spans="1:9" ht="16" x14ac:dyDescent="0.35">
      <c r="B9" s="6" t="s">
        <v>25</v>
      </c>
      <c r="C9" s="7" t="s">
        <v>26</v>
      </c>
      <c r="D9" s="7" t="s">
        <v>16</v>
      </c>
      <c r="E9" s="7" t="s">
        <v>27</v>
      </c>
      <c r="F9" s="6">
        <v>62000</v>
      </c>
      <c r="G9" s="6">
        <v>2019</v>
      </c>
    </row>
    <row r="10" spans="1:9" ht="16" x14ac:dyDescent="0.35">
      <c r="B10" s="6" t="s">
        <v>28</v>
      </c>
      <c r="C10" s="7" t="s">
        <v>29</v>
      </c>
      <c r="D10" s="7" t="s">
        <v>8</v>
      </c>
      <c r="E10" s="7" t="s">
        <v>30</v>
      </c>
      <c r="F10" s="6">
        <v>47000</v>
      </c>
      <c r="G10" s="6">
        <v>2020</v>
      </c>
    </row>
    <row r="11" spans="1:9" ht="16" x14ac:dyDescent="0.35">
      <c r="B11" s="6" t="s">
        <v>31</v>
      </c>
      <c r="C11" s="7" t="s">
        <v>32</v>
      </c>
      <c r="D11" s="7" t="s">
        <v>12</v>
      </c>
      <c r="E11" s="7" t="s">
        <v>17</v>
      </c>
      <c r="F11" s="6">
        <v>54000</v>
      </c>
      <c r="G11" s="6">
        <v>2016</v>
      </c>
    </row>
    <row r="13" spans="1:9" ht="16.5" x14ac:dyDescent="0.35">
      <c r="B13" s="12" t="s">
        <v>63</v>
      </c>
      <c r="E13" s="12" t="s">
        <v>65</v>
      </c>
    </row>
    <row r="14" spans="1:9" ht="16" x14ac:dyDescent="0.35">
      <c r="B14" s="18" t="s">
        <v>64</v>
      </c>
      <c r="C14" s="18"/>
      <c r="E14" s="16" t="s">
        <v>34</v>
      </c>
      <c r="F14" s="16"/>
    </row>
    <row r="15" spans="1:9" x14ac:dyDescent="0.35">
      <c r="B15" s="19" t="s">
        <v>33</v>
      </c>
      <c r="C15" s="19" t="s">
        <v>1</v>
      </c>
      <c r="E15" s="19" t="s">
        <v>35</v>
      </c>
      <c r="F15" s="19" t="s">
        <v>36</v>
      </c>
    </row>
    <row r="16" spans="1:9" x14ac:dyDescent="0.35">
      <c r="B16" s="15" t="s">
        <v>6</v>
      </c>
      <c r="C16" s="15" t="str">
        <f>VLOOKUP(B16,B3:G11,2,)</f>
        <v>Rahul Sharma</v>
      </c>
      <c r="E16" s="15" t="s">
        <v>14</v>
      </c>
      <c r="F16" s="15" t="str">
        <f>VLOOKUP(E16,B3:G11,3,)</f>
        <v>IT</v>
      </c>
    </row>
    <row r="18" spans="2:6" x14ac:dyDescent="0.35">
      <c r="B18" s="13" t="s">
        <v>66</v>
      </c>
      <c r="E18" s="13" t="s">
        <v>67</v>
      </c>
    </row>
    <row r="19" spans="2:6" x14ac:dyDescent="0.35">
      <c r="B19" s="16" t="s">
        <v>37</v>
      </c>
      <c r="C19" s="16"/>
      <c r="E19" s="16" t="s">
        <v>39</v>
      </c>
      <c r="F19" s="16"/>
    </row>
    <row r="20" spans="2:6" x14ac:dyDescent="0.35">
      <c r="B20" s="19" t="s">
        <v>38</v>
      </c>
      <c r="C20" s="19" t="s">
        <v>4</v>
      </c>
      <c r="E20" s="20" t="s">
        <v>33</v>
      </c>
      <c r="F20" s="20" t="s">
        <v>3</v>
      </c>
    </row>
    <row r="21" spans="2:6" x14ac:dyDescent="0.35">
      <c r="B21" s="15" t="s">
        <v>19</v>
      </c>
      <c r="C21" s="15">
        <f>VLOOKUP(B21,C3:F11,4,1)</f>
        <v>58000</v>
      </c>
      <c r="E21" s="15" t="s">
        <v>14</v>
      </c>
      <c r="F21" s="15" t="str">
        <f>VLOOKUP(E21,B3:G11,4,0)</f>
        <v>Bangalore</v>
      </c>
    </row>
    <row r="23" spans="2:6" x14ac:dyDescent="0.35">
      <c r="B23" s="13" t="s">
        <v>68</v>
      </c>
      <c r="E23" s="13" t="s">
        <v>57</v>
      </c>
    </row>
    <row r="24" spans="2:6" x14ac:dyDescent="0.35">
      <c r="B24" s="16" t="s">
        <v>40</v>
      </c>
      <c r="C24" s="16"/>
      <c r="E24" s="17" t="s">
        <v>43</v>
      </c>
      <c r="F24" s="17"/>
    </row>
    <row r="25" spans="2:6" x14ac:dyDescent="0.35">
      <c r="B25" s="19" t="s">
        <v>41</v>
      </c>
      <c r="C25" s="19" t="s">
        <v>42</v>
      </c>
      <c r="E25" s="19" t="s">
        <v>33</v>
      </c>
      <c r="F25" s="19" t="s">
        <v>44</v>
      </c>
    </row>
    <row r="26" spans="2:6" x14ac:dyDescent="0.35">
      <c r="B26" s="15" t="s">
        <v>6</v>
      </c>
      <c r="C26" s="15" t="s">
        <v>50</v>
      </c>
      <c r="E26" s="15" t="s">
        <v>6</v>
      </c>
      <c r="F26" s="15">
        <f>VLOOKUP(E26,B3:G11,6,0)</f>
        <v>2019</v>
      </c>
    </row>
  </sheetData>
  <mergeCells count="7">
    <mergeCell ref="E24:F24"/>
    <mergeCell ref="A1:B1"/>
    <mergeCell ref="B14:C14"/>
    <mergeCell ref="E14:F14"/>
    <mergeCell ref="B19:C19"/>
    <mergeCell ref="E19:F19"/>
    <mergeCell ref="B24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AA776-BAD5-40FD-82E1-122B2E8FF85D}">
  <dimension ref="A1:G19"/>
  <sheetViews>
    <sheetView zoomScaleNormal="100" workbookViewId="0">
      <selection activeCell="H17" sqref="H17"/>
    </sheetView>
  </sheetViews>
  <sheetFormatPr defaultRowHeight="14.5" x14ac:dyDescent="0.35"/>
  <cols>
    <col min="1" max="1" width="9.26953125" bestFit="1" customWidth="1"/>
    <col min="2" max="2" width="11.54296875" customWidth="1"/>
    <col min="3" max="3" width="13" bestFit="1" customWidth="1"/>
    <col min="4" max="4" width="12.81640625" bestFit="1" customWidth="1"/>
    <col min="5" max="5" width="7.54296875" bestFit="1" customWidth="1"/>
    <col min="6" max="6" width="13" bestFit="1" customWidth="1"/>
    <col min="7" max="7" width="12.81640625" bestFit="1" customWidth="1"/>
    <col min="8" max="8" width="8.7265625" bestFit="1" customWidth="1"/>
    <col min="9" max="9" width="8" bestFit="1" customWidth="1"/>
    <col min="11" max="11" width="10.90625" bestFit="1" customWidth="1"/>
    <col min="12" max="12" width="8" bestFit="1" customWidth="1"/>
    <col min="13" max="13" width="3.90625" bestFit="1" customWidth="1"/>
    <col min="14" max="14" width="4.7265625" bestFit="1" customWidth="1"/>
    <col min="15" max="15" width="6.26953125" bestFit="1" customWidth="1"/>
    <col min="16" max="16" width="8.08984375" bestFit="1" customWidth="1"/>
  </cols>
  <sheetData>
    <row r="1" spans="1:7" x14ac:dyDescent="0.35">
      <c r="A1" s="3" t="s">
        <v>60</v>
      </c>
      <c r="B1" s="3"/>
    </row>
    <row r="3" spans="1:7" x14ac:dyDescent="0.35">
      <c r="B3" s="8" t="s">
        <v>2</v>
      </c>
      <c r="C3" s="11" t="s">
        <v>8</v>
      </c>
      <c r="D3" s="11" t="s">
        <v>12</v>
      </c>
      <c r="E3" s="11" t="s">
        <v>16</v>
      </c>
      <c r="F3" s="11" t="s">
        <v>20</v>
      </c>
      <c r="G3" s="11" t="s">
        <v>24</v>
      </c>
    </row>
    <row r="4" spans="1:7" x14ac:dyDescent="0.35">
      <c r="B4" s="9" t="s">
        <v>45</v>
      </c>
      <c r="C4" s="10">
        <v>0.1</v>
      </c>
      <c r="D4" s="10">
        <v>0.08</v>
      </c>
      <c r="E4" s="10">
        <v>0.12</v>
      </c>
      <c r="F4" s="10">
        <v>0.15</v>
      </c>
      <c r="G4" s="10">
        <v>0.09</v>
      </c>
    </row>
    <row r="6" spans="1:7" x14ac:dyDescent="0.35">
      <c r="B6" s="13" t="s">
        <v>58</v>
      </c>
      <c r="F6" s="13" t="s">
        <v>59</v>
      </c>
    </row>
    <row r="7" spans="1:7" x14ac:dyDescent="0.35">
      <c r="B7" s="16" t="s">
        <v>46</v>
      </c>
      <c r="C7" s="16"/>
      <c r="F7" s="16" t="s">
        <v>46</v>
      </c>
      <c r="G7" s="16"/>
    </row>
    <row r="8" spans="1:7" x14ac:dyDescent="0.35">
      <c r="B8" s="21" t="s">
        <v>2</v>
      </c>
      <c r="C8" s="21" t="s">
        <v>45</v>
      </c>
      <c r="F8" s="21" t="s">
        <v>2</v>
      </c>
      <c r="G8" s="20" t="s">
        <v>45</v>
      </c>
    </row>
    <row r="9" spans="1:7" x14ac:dyDescent="0.35">
      <c r="B9" s="15" t="s">
        <v>16</v>
      </c>
      <c r="C9" s="24">
        <f>HLOOKUP(B9,B3:G4,2,0)</f>
        <v>0.12</v>
      </c>
      <c r="F9" s="15" t="s">
        <v>20</v>
      </c>
      <c r="G9" s="25">
        <f>HLOOKUP(F9,B3:G4,2,)</f>
        <v>0.15</v>
      </c>
    </row>
    <row r="11" spans="1:7" x14ac:dyDescent="0.35">
      <c r="B11" s="13" t="s">
        <v>61</v>
      </c>
    </row>
    <row r="12" spans="1:7" x14ac:dyDescent="0.35">
      <c r="B12" s="16" t="s">
        <v>47</v>
      </c>
      <c r="C12" s="16"/>
      <c r="D12" s="16"/>
      <c r="E12" s="16"/>
      <c r="F12" s="16"/>
    </row>
    <row r="13" spans="1:7" x14ac:dyDescent="0.35">
      <c r="B13" s="19" t="s">
        <v>33</v>
      </c>
      <c r="C13" s="19" t="s">
        <v>2</v>
      </c>
      <c r="D13" s="19" t="s">
        <v>4</v>
      </c>
      <c r="E13" s="19" t="s">
        <v>49</v>
      </c>
      <c r="F13" s="19" t="s">
        <v>48</v>
      </c>
    </row>
    <row r="14" spans="1:7" x14ac:dyDescent="0.35">
      <c r="B14" s="15" t="s">
        <v>6</v>
      </c>
      <c r="C14" s="15" t="str">
        <f>VLOOKUP(B14,VLookUp!B3:G11,3,0)</f>
        <v>Sales</v>
      </c>
      <c r="D14" s="15">
        <f>VLOOKUP(B14,VLookUp!B3:G11,5,0)</f>
        <v>45000</v>
      </c>
      <c r="E14" s="24">
        <f>IFERROR(HLOOKUP(C14,B3:G4,2,0),"Department Not Found")</f>
        <v>0.1</v>
      </c>
      <c r="F14" s="15">
        <f>D14*E14</f>
        <v>4500</v>
      </c>
    </row>
    <row r="16" spans="1:7" x14ac:dyDescent="0.35">
      <c r="B16" s="13" t="s">
        <v>69</v>
      </c>
    </row>
    <row r="17" spans="2:3" x14ac:dyDescent="0.35">
      <c r="B17" s="16" t="s">
        <v>47</v>
      </c>
      <c r="C17" s="16"/>
    </row>
    <row r="18" spans="2:3" x14ac:dyDescent="0.35">
      <c r="B18" s="21" t="s">
        <v>33</v>
      </c>
      <c r="C18" s="21" t="s">
        <v>48</v>
      </c>
    </row>
    <row r="19" spans="2:3" x14ac:dyDescent="0.35">
      <c r="B19" s="15" t="s">
        <v>6</v>
      </c>
      <c r="C19" s="15">
        <f>IFERROR(VLOOKUP(B19,VLookUp!B3:G11,5,0)*HLOOKUP(VLOOKUP(B19,VLookUp!B3:G11,3,0),HLookUp!B3:G4,2,0),"No Bonus Data")</f>
        <v>4500</v>
      </c>
    </row>
  </sheetData>
  <mergeCells count="5">
    <mergeCell ref="B17:C17"/>
    <mergeCell ref="B7:C7"/>
    <mergeCell ref="F7:G7"/>
    <mergeCell ref="B12:F12"/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E6A3-1BF3-436B-85A7-B208F7B49528}">
  <dimension ref="A1:G16"/>
  <sheetViews>
    <sheetView zoomScaleNormal="100" workbookViewId="0">
      <selection activeCell="F16" sqref="F16"/>
    </sheetView>
  </sheetViews>
  <sheetFormatPr defaultRowHeight="14.5" x14ac:dyDescent="0.35"/>
  <cols>
    <col min="2" max="3" width="14.36328125" bestFit="1" customWidth="1"/>
    <col min="4" max="4" width="16.1796875" bestFit="1" customWidth="1"/>
    <col min="6" max="6" width="14.36328125" bestFit="1" customWidth="1"/>
    <col min="7" max="7" width="17.453125" bestFit="1" customWidth="1"/>
    <col min="11" max="11" width="14.36328125" bestFit="1" customWidth="1"/>
    <col min="12" max="12" width="17.453125" bestFit="1" customWidth="1"/>
  </cols>
  <sheetData>
    <row r="1" spans="1:7" ht="16" x14ac:dyDescent="0.4">
      <c r="A1" s="4" t="s">
        <v>51</v>
      </c>
      <c r="B1" s="4"/>
    </row>
    <row r="3" spans="1:7" x14ac:dyDescent="0.35">
      <c r="C3" s="13" t="s">
        <v>52</v>
      </c>
      <c r="F3" s="13" t="s">
        <v>53</v>
      </c>
    </row>
    <row r="4" spans="1:7" x14ac:dyDescent="0.35">
      <c r="C4" s="16" t="s">
        <v>37</v>
      </c>
      <c r="D4" s="16"/>
      <c r="F4" s="16" t="s">
        <v>34</v>
      </c>
      <c r="G4" s="16"/>
    </row>
    <row r="5" spans="1:7" x14ac:dyDescent="0.35">
      <c r="C5" s="19" t="s">
        <v>35</v>
      </c>
      <c r="D5" s="19" t="s">
        <v>4</v>
      </c>
      <c r="F5" s="19" t="s">
        <v>38</v>
      </c>
      <c r="G5" s="19" t="s">
        <v>36</v>
      </c>
    </row>
    <row r="6" spans="1:7" x14ac:dyDescent="0.35">
      <c r="C6" s="15" t="s">
        <v>6</v>
      </c>
      <c r="D6" s="15">
        <f>_xlfn.XLOOKUP(C6,VLookUp!B3:B11,VLookUp!F3:F11)</f>
        <v>45000</v>
      </c>
      <c r="F6" s="15" t="s">
        <v>19</v>
      </c>
      <c r="G6" s="15" t="str">
        <f>_xlfn.XLOOKUP(F6,VLookUp!C3:C11,VLookUp!D3:D11)</f>
        <v>Finance</v>
      </c>
    </row>
    <row r="8" spans="1:7" x14ac:dyDescent="0.35">
      <c r="C8" s="13" t="s">
        <v>54</v>
      </c>
      <c r="F8" s="13" t="s">
        <v>55</v>
      </c>
    </row>
    <row r="9" spans="1:7" x14ac:dyDescent="0.35">
      <c r="C9" s="16" t="s">
        <v>39</v>
      </c>
      <c r="D9" s="16"/>
      <c r="F9" s="16" t="s">
        <v>40</v>
      </c>
      <c r="G9" s="16"/>
    </row>
    <row r="10" spans="1:7" x14ac:dyDescent="0.35">
      <c r="C10" s="20" t="s">
        <v>38</v>
      </c>
      <c r="D10" s="20" t="s">
        <v>3</v>
      </c>
      <c r="F10" s="19" t="s">
        <v>41</v>
      </c>
      <c r="G10" s="19" t="s">
        <v>42</v>
      </c>
    </row>
    <row r="11" spans="1:7" x14ac:dyDescent="0.35">
      <c r="C11" s="15" t="s">
        <v>19</v>
      </c>
      <c r="D11" s="15" t="str">
        <f>_xlfn.XLOOKUP(C11,VLookUp!C3:C11,VLookUp!E3:E11)</f>
        <v>Pune</v>
      </c>
      <c r="F11" s="22">
        <v>101</v>
      </c>
      <c r="G11" s="22" t="str">
        <f>_xlfn.XLOOKUP(F11,VLookUp!B3:B11,VLookUp!B3:B11,"Employee Not Found")</f>
        <v>Employee Not Found</v>
      </c>
    </row>
    <row r="13" spans="1:7" x14ac:dyDescent="0.35">
      <c r="C13" s="13" t="s">
        <v>56</v>
      </c>
    </row>
    <row r="14" spans="1:7" x14ac:dyDescent="0.35">
      <c r="C14" s="16" t="s">
        <v>46</v>
      </c>
      <c r="D14" s="16"/>
    </row>
    <row r="15" spans="1:7" x14ac:dyDescent="0.35">
      <c r="C15" s="19" t="s">
        <v>2</v>
      </c>
      <c r="D15" s="19" t="s">
        <v>45</v>
      </c>
    </row>
    <row r="16" spans="1:7" x14ac:dyDescent="0.35">
      <c r="C16" s="15" t="s">
        <v>16</v>
      </c>
      <c r="D16" s="23">
        <f>_xlfn.XLOOKUP(C16,HLookUp!B3:G3,HLookUp!B4:G4)</f>
        <v>0.12</v>
      </c>
    </row>
  </sheetData>
  <mergeCells count="6">
    <mergeCell ref="A1:B1"/>
    <mergeCell ref="C4:D4"/>
    <mergeCell ref="F4:G4"/>
    <mergeCell ref="C9:D9"/>
    <mergeCell ref="F9:G9"/>
    <mergeCell ref="C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2026-06-29T09:39:17Z</dcterms:created>
  <dcterms:modified xsi:type="dcterms:W3CDTF">2026-06-29T18:54:55Z</dcterms:modified>
</cp:coreProperties>
</file>