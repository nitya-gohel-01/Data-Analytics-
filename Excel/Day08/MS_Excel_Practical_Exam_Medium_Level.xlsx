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P\Desktop\DataAnalytics\Excel\Day08\"/>
    </mc:Choice>
  </mc:AlternateContent>
  <xr:revisionPtr revIDLastSave="0" documentId="13_ncr:1_{C28002C9-9A58-407E-8D68-39093D4ED030}" xr6:coauthVersionLast="47" xr6:coauthVersionMax="47" xr10:uidLastSave="{00000000-0000-0000-0000-000000000000}"/>
  <bookViews>
    <workbookView xWindow="-110" yWindow="-110" windowWidth="19420" windowHeight="10300" firstSheet="1" activeTab="5" xr2:uid="{00000000-000D-0000-FFFF-FFFF00000000}"/>
  </bookViews>
  <sheets>
    <sheet name="Instructions" sheetId="1" r:id="rId1"/>
    <sheet name="Sales_Data" sheetId="2" r:id="rId2"/>
    <sheet name="Product_Master" sheetId="3" r:id="rId3"/>
    <sheet name="Student_Marks" sheetId="4" r:id="rId4"/>
    <sheet name="Questions" sheetId="5" r:id="rId5"/>
    <sheet name="AnswerSheet" sheetId="6" r:id="rId6"/>
  </sheets>
  <definedNames>
    <definedName name="_xlnm._FilterDatabase" localSheetId="5" hidden="1">AnswerSheet!$B$138:$H$144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52" i="6" l="1"/>
  <c r="C153" i="6"/>
  <c r="C154" i="6"/>
  <c r="C155" i="6"/>
  <c r="C156" i="6"/>
  <c r="C151" i="6"/>
  <c r="D119" i="6"/>
  <c r="H48" i="6"/>
  <c r="H49" i="6"/>
  <c r="H50" i="6"/>
  <c r="H51" i="6"/>
  <c r="H52" i="6"/>
  <c r="D120" i="6"/>
  <c r="D121" i="6"/>
  <c r="D122" i="6"/>
  <c r="D123" i="6"/>
  <c r="B3" i="6"/>
  <c r="C16" i="6"/>
  <c r="C26" i="6"/>
  <c r="C27" i="6"/>
  <c r="C28" i="6"/>
  <c r="C29" i="6"/>
  <c r="C30" i="6"/>
  <c r="C31" i="6"/>
  <c r="C38" i="6"/>
  <c r="C55" i="6"/>
  <c r="B112" i="6"/>
  <c r="B115" i="6"/>
  <c r="C127" i="6"/>
  <c r="C128" i="6"/>
  <c r="C129" i="6"/>
  <c r="C130" i="6"/>
  <c r="C131" i="6"/>
  <c r="C132" i="6"/>
  <c r="C148" i="6"/>
  <c r="I49" i="6"/>
  <c r="I50" i="6"/>
  <c r="I51" i="6"/>
  <c r="I52" i="6"/>
  <c r="I48" i="6"/>
  <c r="I8" i="6"/>
  <c r="J8" i="6" s="1"/>
  <c r="I10" i="6"/>
  <c r="J10" i="6" s="1"/>
  <c r="I12" i="6"/>
  <c r="J12" i="6" s="1"/>
  <c r="I11" i="6"/>
  <c r="J11" i="6" s="1"/>
  <c r="I9" i="6"/>
  <c r="J9" i="6" s="1"/>
  <c r="I7" i="6"/>
  <c r="J7" i="6" s="1"/>
  <c r="C19" i="6" s="1"/>
  <c r="J32" i="5"/>
  <c r="C20" i="6" l="1"/>
  <c r="C35" i="6"/>
  <c r="C34" i="6"/>
  <c r="C22" i="6"/>
  <c r="C21" i="6"/>
  <c r="J13" i="6"/>
</calcChain>
</file>

<file path=xl/sharedStrings.xml><?xml version="1.0" encoding="utf-8"?>
<sst xmlns="http://schemas.openxmlformats.org/spreadsheetml/2006/main" count="253" uniqueCount="135">
  <si>
    <t>Total Questions: 30</t>
  </si>
  <si>
    <t>Difficulty Level: Medium</t>
  </si>
  <si>
    <t>Syllabus: Formulas, Logical Functions, Lookups, INDEX-MATCH, Pivot Tables &amp; Charts, Data Analysis</t>
  </si>
  <si>
    <t>Attempt all questions using appropriate Excel tools/functions.</t>
  </si>
  <si>
    <t>Order_ID</t>
  </si>
  <si>
    <t>Region</t>
  </si>
  <si>
    <t>Salesperson</t>
  </si>
  <si>
    <t>Product</t>
  </si>
  <si>
    <t>Quantity</t>
  </si>
  <si>
    <t>Unit_Price</t>
  </si>
  <si>
    <t>Sales_Date</t>
  </si>
  <si>
    <t>North</t>
  </si>
  <si>
    <t>Amit</t>
  </si>
  <si>
    <t>Laptop</t>
  </si>
  <si>
    <t>05-01-2025</t>
  </si>
  <si>
    <t>South</t>
  </si>
  <si>
    <t>Riya</t>
  </si>
  <si>
    <t>Mobile</t>
  </si>
  <si>
    <t>07-01-2025</t>
  </si>
  <si>
    <t>East</t>
  </si>
  <si>
    <t>Kunal</t>
  </si>
  <si>
    <t>Tablet</t>
  </si>
  <si>
    <t>10-01-2025</t>
  </si>
  <si>
    <t>West</t>
  </si>
  <si>
    <t>Neha</t>
  </si>
  <si>
    <t>12-01-2025</t>
  </si>
  <si>
    <t>15-01-2025</t>
  </si>
  <si>
    <t>18-01-2025</t>
  </si>
  <si>
    <t>Category</t>
  </si>
  <si>
    <t>GST_%</t>
  </si>
  <si>
    <t>Electronics</t>
  </si>
  <si>
    <t>Student_ID</t>
  </si>
  <si>
    <t>Name</t>
  </si>
  <si>
    <t>Maths</t>
  </si>
  <si>
    <t>Statistics</t>
  </si>
  <si>
    <t>Excel</t>
  </si>
  <si>
    <t>Attendance_%</t>
  </si>
  <si>
    <t>Rahul</t>
  </si>
  <si>
    <t>Sneha</t>
  </si>
  <si>
    <t>Arjun</t>
  </si>
  <si>
    <t>Pooja</t>
  </si>
  <si>
    <t>Vikas</t>
  </si>
  <si>
    <t>1. Calculate Total Sales for each order (Quantity × Unit_Price).</t>
  </si>
  <si>
    <t>2. Calculate GST Amount using VLOOKUP from Product_Master.</t>
  </si>
  <si>
    <t>3. Find Final Amount payable (Total Sales + GST).</t>
  </si>
  <si>
    <t>4. Find Grand Total of Final Amount.</t>
  </si>
  <si>
    <t>5. Count total number of orders using COUNTA.</t>
  </si>
  <si>
    <t>6. Find Region-wise total sales using SUMIF.</t>
  </si>
  <si>
    <t>7. Use IF to classify Quantity as High (&gt;3) or Low (&lt;=3).</t>
  </si>
  <si>
    <t>8. Find the maximum and minimum Final Amount.</t>
  </si>
  <si>
    <t>9. Extract month name from Sales_Date.</t>
  </si>
  <si>
    <t>10. Sort Sales_Data by Final Amount (Descending).</t>
  </si>
  <si>
    <t>11. Use INDEX-MATCH to fetch Product Category.</t>
  </si>
  <si>
    <t>12. Calculate average marks of each student.</t>
  </si>
  <si>
    <t>13. Find the topper based on average marks.</t>
  </si>
  <si>
    <t>14. Count students with Attendance above 90%.</t>
  </si>
  <si>
    <t>15. Use IF to classify students as Eligible (Attendance &gt;= 85%).</t>
  </si>
  <si>
    <t>16. Create a Pivot Table showing Product-wise Total Sales.</t>
  </si>
  <si>
    <t>17. Create a Pivot Table showing Region-wise Total Sales.</t>
  </si>
  <si>
    <t>18. Insert a Pivot Chart for Product-wise Sales.</t>
  </si>
  <si>
    <t>19. Create a Bar Chart for Student Excel marks.</t>
  </si>
  <si>
    <t>20. Find Median of Statistics marks.</t>
  </si>
  <si>
    <t>21. Find Standard Deviation of Excel marks.</t>
  </si>
  <si>
    <t>22. Use CONCAT to combine Student_ID and Name.</t>
  </si>
  <si>
    <t>23. Use LEFT function to extract first 2 letters of Salesperson name.</t>
  </si>
  <si>
    <t>24. Apply Conditional Formatting to highlight Final Amount &gt; 60000.</t>
  </si>
  <si>
    <t>25. Filter orders where Product is Laptop and Quantity &gt; 1.</t>
  </si>
  <si>
    <t>26. Use COUNTIFS to count Laptop orders in North region.</t>
  </si>
  <si>
    <t>27. Use ROUND to round Unit_Price to nearest thousand.</t>
  </si>
  <si>
    <t>28. Remove duplicate records if present.</t>
  </si>
  <si>
    <t>29. Freeze top row in Sales_Data sheet.</t>
  </si>
  <si>
    <t>30. Protect the Student_Marks sheet.</t>
  </si>
  <si>
    <t>MS Excel Practical Exam</t>
  </si>
  <si>
    <t>Answer 1 :</t>
  </si>
  <si>
    <t>Answer 2 :</t>
  </si>
  <si>
    <t>Answer 4 :</t>
  </si>
  <si>
    <t>GST Amount</t>
  </si>
  <si>
    <t>Final Amount to Pay</t>
  </si>
  <si>
    <t xml:space="preserve"> Answer 3:</t>
  </si>
  <si>
    <t>Answer 5 :</t>
  </si>
  <si>
    <t>Total Number of order :</t>
  </si>
  <si>
    <t>Answer 6 :</t>
  </si>
  <si>
    <t>Answer 7 :</t>
  </si>
  <si>
    <t>&gt;3 or &lt;=3</t>
  </si>
  <si>
    <t>Answer 8 :</t>
  </si>
  <si>
    <t>Maximum Final Amount</t>
  </si>
  <si>
    <t>Minimum Final Amount</t>
  </si>
  <si>
    <t>Answer 9 :</t>
  </si>
  <si>
    <t>Month Name</t>
  </si>
  <si>
    <t>Answer 10 :</t>
  </si>
  <si>
    <t>In upper table</t>
  </si>
  <si>
    <t>Answer 10:</t>
  </si>
  <si>
    <t>Answer 11 :</t>
  </si>
  <si>
    <t>Index match que - skip</t>
  </si>
  <si>
    <t>Answer 12 :</t>
  </si>
  <si>
    <t>Average</t>
  </si>
  <si>
    <t>Answer 13 :</t>
  </si>
  <si>
    <t>Topper</t>
  </si>
  <si>
    <t>Answer 14 :</t>
  </si>
  <si>
    <t>Student with 90% or above</t>
  </si>
  <si>
    <t>Answer 15 :</t>
  </si>
  <si>
    <t>Above table</t>
  </si>
  <si>
    <t>Eligiblity</t>
  </si>
  <si>
    <t>Answer 16 :</t>
  </si>
  <si>
    <t>Row Labels</t>
  </si>
  <si>
    <t>Grand Total</t>
  </si>
  <si>
    <t>Sum of Final Amount to Pay</t>
  </si>
  <si>
    <t>Answer 17 :</t>
  </si>
  <si>
    <t>Region wise total sales</t>
  </si>
  <si>
    <t>Product wise total sales</t>
  </si>
  <si>
    <t>Answer 18 :</t>
  </si>
  <si>
    <t>Answer 19 :</t>
  </si>
  <si>
    <t>Answer 20 :</t>
  </si>
  <si>
    <t>Answer 21 :</t>
  </si>
  <si>
    <t>Answer 22 :</t>
  </si>
  <si>
    <t>Contcat</t>
  </si>
  <si>
    <t>Answer 23 :</t>
  </si>
  <si>
    <t>first two letter</t>
  </si>
  <si>
    <t>Answer 24 :</t>
  </si>
  <si>
    <t>&gt; 60,000</t>
  </si>
  <si>
    <t>Answer 25 :</t>
  </si>
  <si>
    <t>Laptop order in north region</t>
  </si>
  <si>
    <t>Answer 26 :</t>
  </si>
  <si>
    <t xml:space="preserve">Above table </t>
  </si>
  <si>
    <t>Answer 27 :</t>
  </si>
  <si>
    <t>Already Rounded!!!!!</t>
  </si>
  <si>
    <t>Answer 28 :</t>
  </si>
  <si>
    <t>Answer 29 :</t>
  </si>
  <si>
    <t>Answer 30 :</t>
  </si>
  <si>
    <t>Sum</t>
  </si>
  <si>
    <t>Running Total</t>
  </si>
  <si>
    <t>Count</t>
  </si>
  <si>
    <t>No Duplicate value found</t>
  </si>
  <si>
    <t>View -&gt; Freeze -&gt; Freeze top rows</t>
  </si>
  <si>
    <t>Review -&gt; Protect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</si>
</sst>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1" xfId="0" applyBorder="1"/>
    <xf numFmtId="0" fontId="2" fillId="0" borderId="1" xfId="0" applyFont="1" applyBorder="1" applyAlignment="1">
      <alignment horizontal="center"/>
    </xf>
    <xf numFmtId="2" fontId="0" fillId="0" borderId="0" xfId="0" applyNumberFormat="1"/>
    <xf numFmtId="0" fontId="2" fillId="0" borderId="0" xfId="0" applyFont="1"/>
    <xf numFmtId="0" fontId="1" fillId="2" borderId="0" xfId="1"/>
    <xf numFmtId="0" fontId="0" fillId="0" borderId="0" xfId="0" pivotButton="1"/>
    <xf numFmtId="0" fontId="0" fillId="0" borderId="0" xfId="0" applyAlignment="1">
      <alignment horizontal="left"/>
    </xf>
    <xf numFmtId="2" fontId="0" fillId="0" borderId="1" xfId="0" applyNumberFormat="1" applyBorder="1"/>
    <xf numFmtId="164" fontId="2" fillId="0" borderId="0" xfId="0" applyNumberFormat="1" applyFont="1"/>
    <xf numFmtId="0" fontId="2" fillId="0" borderId="0" xfId="0" applyFont="1" applyAlignment="1">
      <alignment horizontal="left"/>
    </xf>
    <xf numFmtId="14" fontId="0" fillId="0" borderId="1" xfId="0" applyNumberFormat="1" applyBorder="1"/>
  </cellXfs>
  <cellStyles count="2">
    <cellStyle name="Good" xfId="1" builtinId="26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Student</a:t>
            </a:r>
            <a:r>
              <a:rPr lang="en-US" baseline="0"/>
              <a:t> Result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AnswerSheet!$D$47</c:f>
              <c:strCache>
                <c:ptCount val="1"/>
                <c:pt idx="0">
                  <c:v>Maths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AnswerSheet!$C$48:$C$52</c:f>
              <c:strCache>
                <c:ptCount val="5"/>
                <c:pt idx="0">
                  <c:v>Rahul</c:v>
                </c:pt>
                <c:pt idx="1">
                  <c:v>Sneha</c:v>
                </c:pt>
                <c:pt idx="2">
                  <c:v>Arjun</c:v>
                </c:pt>
                <c:pt idx="3">
                  <c:v>Pooja</c:v>
                </c:pt>
                <c:pt idx="4">
                  <c:v>Vikas</c:v>
                </c:pt>
              </c:strCache>
            </c:strRef>
          </c:cat>
          <c:val>
            <c:numRef>
              <c:f>AnswerSheet!$D$48:$D$52</c:f>
              <c:numCache>
                <c:formatCode>General</c:formatCode>
                <c:ptCount val="5"/>
                <c:pt idx="0">
                  <c:v>78</c:v>
                </c:pt>
                <c:pt idx="1">
                  <c:v>88</c:v>
                </c:pt>
                <c:pt idx="2">
                  <c:v>65</c:v>
                </c:pt>
                <c:pt idx="3">
                  <c:v>92</c:v>
                </c:pt>
                <c:pt idx="4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32-46B9-9CC7-8734D1336256}"/>
            </c:ext>
          </c:extLst>
        </c:ser>
        <c:ser>
          <c:idx val="1"/>
          <c:order val="1"/>
          <c:tx>
            <c:strRef>
              <c:f>AnswerSheet!$E$47</c:f>
              <c:strCache>
                <c:ptCount val="1"/>
                <c:pt idx="0">
                  <c:v>Statistics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AnswerSheet!$C$48:$C$52</c:f>
              <c:strCache>
                <c:ptCount val="5"/>
                <c:pt idx="0">
                  <c:v>Rahul</c:v>
                </c:pt>
                <c:pt idx="1">
                  <c:v>Sneha</c:v>
                </c:pt>
                <c:pt idx="2">
                  <c:v>Arjun</c:v>
                </c:pt>
                <c:pt idx="3">
                  <c:v>Pooja</c:v>
                </c:pt>
                <c:pt idx="4">
                  <c:v>Vikas</c:v>
                </c:pt>
              </c:strCache>
            </c:strRef>
          </c:cat>
          <c:val>
            <c:numRef>
              <c:f>AnswerSheet!$E$48:$E$52</c:f>
              <c:numCache>
                <c:formatCode>General</c:formatCode>
                <c:ptCount val="5"/>
                <c:pt idx="0">
                  <c:v>82</c:v>
                </c:pt>
                <c:pt idx="1">
                  <c:v>91</c:v>
                </c:pt>
                <c:pt idx="2">
                  <c:v>70</c:v>
                </c:pt>
                <c:pt idx="3">
                  <c:v>89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32-46B9-9CC7-8734D1336256}"/>
            </c:ext>
          </c:extLst>
        </c:ser>
        <c:ser>
          <c:idx val="2"/>
          <c:order val="2"/>
          <c:tx>
            <c:strRef>
              <c:f>AnswerSheet!$F$47</c:f>
              <c:strCache>
                <c:ptCount val="1"/>
                <c:pt idx="0">
                  <c:v>Excel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AnswerSheet!$C$48:$C$52</c:f>
              <c:strCache>
                <c:ptCount val="5"/>
                <c:pt idx="0">
                  <c:v>Rahul</c:v>
                </c:pt>
                <c:pt idx="1">
                  <c:v>Sneha</c:v>
                </c:pt>
                <c:pt idx="2">
                  <c:v>Arjun</c:v>
                </c:pt>
                <c:pt idx="3">
                  <c:v>Pooja</c:v>
                </c:pt>
                <c:pt idx="4">
                  <c:v>Vikas</c:v>
                </c:pt>
              </c:strCache>
            </c:strRef>
          </c:cat>
          <c:val>
            <c:numRef>
              <c:f>AnswerSheet!$F$48:$F$52</c:f>
              <c:numCache>
                <c:formatCode>General</c:formatCode>
                <c:ptCount val="5"/>
                <c:pt idx="0">
                  <c:v>85</c:v>
                </c:pt>
                <c:pt idx="1">
                  <c:v>90</c:v>
                </c:pt>
                <c:pt idx="2">
                  <c:v>72</c:v>
                </c:pt>
                <c:pt idx="3">
                  <c:v>94</c:v>
                </c:pt>
                <c:pt idx="4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32-46B9-9CC7-8734D13362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4144368"/>
        <c:axId val="2088008176"/>
      </c:barChart>
      <c:catAx>
        <c:axId val="199414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008176"/>
        <c:crosses val="autoZero"/>
        <c:auto val="1"/>
        <c:lblAlgn val="ctr"/>
        <c:lblOffset val="100"/>
        <c:noMultiLvlLbl val="0"/>
      </c:catAx>
      <c:valAx>
        <c:axId val="208800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144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[MS_Excel_Practical_Exam_Medium_Level.xlsx]AnswerSheet!PivotTable2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AnswerSheet!$C$62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AnswerSheet!$B$63:$B$66</c:f>
              <c:strCache>
                <c:ptCount val="3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AnswerSheet!$C$63:$C$66</c:f>
              <c:numCache>
                <c:formatCode>General</c:formatCode>
                <c:ptCount val="3"/>
                <c:pt idx="0">
                  <c:v>265500</c:v>
                </c:pt>
                <c:pt idx="1">
                  <c:v>159300</c:v>
                </c:pt>
                <c:pt idx="2">
                  <c:v>63720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3B-4049-8E2A-DB54F6B33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896383"/>
        <c:axId val="218783599"/>
      </c:barChart>
      <c:catAx>
        <c:axId val="80896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783599"/>
        <c:crosses val="autoZero"/>
        <c:auto val="1"/>
        <c:lblAlgn val="ctr"/>
        <c:lblOffset val="100"/>
        <c:noMultiLvlLbl val="0"/>
      </c:catAx>
      <c:valAx>
        <c:axId val="218783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96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93</xdr:row>
      <xdr:rowOff>63500</xdr:rowOff>
    </xdr:from>
    <xdr:to>
      <xdr:col>5</xdr:col>
      <xdr:colOff>523875</xdr:colOff>
      <xdr:row>108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7D3329-CA04-FED2-A47E-E3599ACAB4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184042</xdr:colOff>
      <xdr:row>77</xdr:row>
      <xdr:rowOff>162086</xdr:rowOff>
    </xdr:from>
    <xdr:to>
      <xdr:col>4</xdr:col>
      <xdr:colOff>181890</xdr:colOff>
      <xdr:row>90</xdr:row>
      <xdr:rowOff>129153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618D9C2-3F56-3291-E00A-76FFD7273D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tya Gohel" refreshedDate="46210.628648726852" createdVersion="8" refreshedVersion="8" minRefreshableVersion="3" recordCount="6" xr:uid="{1CAD05A8-7B2F-41AE-93FF-6AA1DEDBC973}">
  <cacheSource type="worksheet">
    <worksheetSource ref="B6:J12" sheet="AnswerSheet"/>
  </cacheSource>
  <cacheFields count="9">
    <cacheField name="Order_ID" numFmtId="0">
      <sharedItems containsSemiMixedTypes="0" containsString="0" containsNumber="1" containsInteger="1" minValue="301" maxValue="306"/>
    </cacheField>
    <cacheField name="Region" numFmtId="0">
      <sharedItems count="4">
        <s v="North"/>
        <s v="South"/>
        <s v="East"/>
        <s v="West"/>
      </sharedItems>
    </cacheField>
    <cacheField name="Salesperson" numFmtId="0">
      <sharedItems/>
    </cacheField>
    <cacheField name="Product" numFmtId="0">
      <sharedItems count="3">
        <s v="Laptop"/>
        <s v="Mobile"/>
        <s v="Tablet"/>
      </sharedItems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containsInteger="1" minValue="15000" maxValue="45000"/>
    </cacheField>
    <cacheField name="Sales_Date" numFmtId="0">
      <sharedItems/>
    </cacheField>
    <cacheField name="GST Amount" numFmtId="0">
      <sharedItems containsSemiMixedTypes="0" containsString="0" containsNumber="1" containsInteger="1" minValue="8100" maxValue="16200"/>
    </cacheField>
    <cacheField name="Final Amount to Pay" numFmtId="0">
      <sharedItems containsSemiMixedTypes="0" containsString="0" containsNumber="1" containsInteger="1" minValue="53100" maxValue="106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301"/>
    <x v="0"/>
    <s v="Amit"/>
    <x v="0"/>
    <n v="2"/>
    <n v="45000"/>
    <s v="05-01-2025"/>
    <n v="16200"/>
    <n v="106200"/>
  </r>
  <r>
    <n v="306"/>
    <x v="1"/>
    <s v="Riya"/>
    <x v="0"/>
    <n v="2"/>
    <n v="45000"/>
    <s v="18-01-2025"/>
    <n v="16200"/>
    <n v="106200"/>
  </r>
  <r>
    <n v="302"/>
    <x v="1"/>
    <s v="Riya"/>
    <x v="1"/>
    <n v="5"/>
    <n v="15000"/>
    <s v="07-01-2025"/>
    <n v="13500"/>
    <n v="88500"/>
  </r>
  <r>
    <n v="305"/>
    <x v="0"/>
    <s v="Amit"/>
    <x v="1"/>
    <n v="4"/>
    <n v="15000"/>
    <s v="15-01-2025"/>
    <n v="10800"/>
    <n v="70800"/>
  </r>
  <r>
    <n v="303"/>
    <x v="2"/>
    <s v="Kunal"/>
    <x v="2"/>
    <n v="3"/>
    <n v="18000"/>
    <s v="10-01-2025"/>
    <n v="9720"/>
    <n v="63720"/>
  </r>
  <r>
    <n v="304"/>
    <x v="3"/>
    <s v="Neha"/>
    <x v="0"/>
    <n v="1"/>
    <n v="45000"/>
    <s v="12-01-2025"/>
    <n v="8100"/>
    <n v="53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C249DA-F0D0-4E5D-BD82-8C6985D303B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0:C75" firstHeaderRow="1" firstDataRow="1" firstDataCol="1"/>
  <pivotFields count="9"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Final Amount to Pay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80FA16-1A33-436E-8F9C-443A4CB371B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B62:C66" firstHeaderRow="1" firstDataRow="1" firstDataCol="1"/>
  <pivotFields count="9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Final Amount to Pay" fld="8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>
      <selection activeCell="I13" sqref="I13"/>
    </sheetView>
  </sheetViews>
  <sheetFormatPr defaultRowHeight="14.5" x14ac:dyDescent="0.35"/>
  <sheetData>
    <row r="1" spans="1:1" x14ac:dyDescent="0.35">
      <c r="A1" t="s">
        <v>72</v>
      </c>
    </row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>
      <pane ySplit="1" topLeftCell="A2" activePane="bottomLeft" state="frozen"/>
      <selection pane="bottomLeft" activeCell="L9" sqref="L9"/>
    </sheetView>
  </sheetViews>
  <sheetFormatPr defaultRowHeight="14.5" x14ac:dyDescent="0.35"/>
  <cols>
    <col min="3" max="3" width="10.81640625" bestFit="1" customWidth="1"/>
    <col min="6" max="6" width="9.26953125" bestFit="1" customWidth="1"/>
    <col min="7" max="7" width="10.08984375" bestFit="1" customWidth="1"/>
  </cols>
  <sheetData>
    <row r="1" spans="1:7" x14ac:dyDescent="0.3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 spans="1:7" x14ac:dyDescent="0.35">
      <c r="A2">
        <v>301</v>
      </c>
      <c r="B2" t="s">
        <v>11</v>
      </c>
      <c r="C2" t="s">
        <v>12</v>
      </c>
      <c r="D2" t="s">
        <v>13</v>
      </c>
      <c r="E2">
        <v>2</v>
      </c>
      <c r="F2">
        <v>45000</v>
      </c>
      <c r="G2" s="1" t="s">
        <v>14</v>
      </c>
    </row>
    <row r="3" spans="1:7" x14ac:dyDescent="0.35">
      <c r="A3">
        <v>302</v>
      </c>
      <c r="B3" t="s">
        <v>15</v>
      </c>
      <c r="C3" t="s">
        <v>16</v>
      </c>
      <c r="D3" t="s">
        <v>17</v>
      </c>
      <c r="E3">
        <v>5</v>
      </c>
      <c r="F3">
        <v>15000</v>
      </c>
      <c r="G3" s="1" t="s">
        <v>18</v>
      </c>
    </row>
    <row r="4" spans="1:7" x14ac:dyDescent="0.35">
      <c r="A4">
        <v>303</v>
      </c>
      <c r="B4" t="s">
        <v>19</v>
      </c>
      <c r="C4" t="s">
        <v>20</v>
      </c>
      <c r="D4" t="s">
        <v>21</v>
      </c>
      <c r="E4">
        <v>3</v>
      </c>
      <c r="F4">
        <v>18000</v>
      </c>
      <c r="G4" s="1" t="s">
        <v>22</v>
      </c>
    </row>
    <row r="5" spans="1:7" x14ac:dyDescent="0.35">
      <c r="A5">
        <v>304</v>
      </c>
      <c r="B5" t="s">
        <v>23</v>
      </c>
      <c r="C5" t="s">
        <v>24</v>
      </c>
      <c r="D5" t="s">
        <v>13</v>
      </c>
      <c r="E5">
        <v>1</v>
      </c>
      <c r="F5">
        <v>45000</v>
      </c>
      <c r="G5" s="1" t="s">
        <v>25</v>
      </c>
    </row>
    <row r="6" spans="1:7" x14ac:dyDescent="0.35">
      <c r="A6">
        <v>305</v>
      </c>
      <c r="B6" t="s">
        <v>11</v>
      </c>
      <c r="C6" t="s">
        <v>12</v>
      </c>
      <c r="D6" t="s">
        <v>17</v>
      </c>
      <c r="E6">
        <v>4</v>
      </c>
      <c r="F6">
        <v>15000</v>
      </c>
      <c r="G6" s="1" t="s">
        <v>26</v>
      </c>
    </row>
    <row r="7" spans="1:7" x14ac:dyDescent="0.35">
      <c r="A7">
        <v>306</v>
      </c>
      <c r="B7" t="s">
        <v>15</v>
      </c>
      <c r="C7" t="s">
        <v>16</v>
      </c>
      <c r="D7" t="s">
        <v>13</v>
      </c>
      <c r="E7">
        <v>2</v>
      </c>
      <c r="F7">
        <v>45000</v>
      </c>
      <c r="G7" s="1" t="s">
        <v>27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F13" sqref="F13"/>
    </sheetView>
  </sheetViews>
  <sheetFormatPr defaultRowHeight="14.5" x14ac:dyDescent="0.35"/>
  <cols>
    <col min="2" max="2" width="9.7265625" bestFit="1" customWidth="1"/>
  </cols>
  <sheetData>
    <row r="1" spans="1:3" x14ac:dyDescent="0.35">
      <c r="A1" t="s">
        <v>7</v>
      </c>
      <c r="B1" t="s">
        <v>28</v>
      </c>
      <c r="C1" t="s">
        <v>29</v>
      </c>
    </row>
    <row r="2" spans="1:3" x14ac:dyDescent="0.35">
      <c r="A2" t="s">
        <v>13</v>
      </c>
      <c r="B2" t="s">
        <v>30</v>
      </c>
      <c r="C2">
        <v>18</v>
      </c>
    </row>
    <row r="3" spans="1:3" x14ac:dyDescent="0.35">
      <c r="A3" t="s">
        <v>17</v>
      </c>
      <c r="B3" t="s">
        <v>30</v>
      </c>
      <c r="C3">
        <v>12</v>
      </c>
    </row>
    <row r="4" spans="1:3" x14ac:dyDescent="0.35">
      <c r="A4" t="s">
        <v>21</v>
      </c>
      <c r="B4" t="s">
        <v>30</v>
      </c>
      <c r="C4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>
      <selection activeCell="D11" sqref="D11"/>
    </sheetView>
  </sheetViews>
  <sheetFormatPr defaultRowHeight="14.5" x14ac:dyDescent="0.35"/>
  <cols>
    <col min="1" max="1" width="10.08984375" bestFit="1" customWidth="1"/>
    <col min="6" max="6" width="12.90625" bestFit="1" customWidth="1"/>
  </cols>
  <sheetData>
    <row r="1" spans="1:6" x14ac:dyDescent="0.3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6" x14ac:dyDescent="0.35">
      <c r="A2">
        <v>1</v>
      </c>
      <c r="B2" t="s">
        <v>37</v>
      </c>
      <c r="C2">
        <v>78</v>
      </c>
      <c r="D2">
        <v>82</v>
      </c>
      <c r="E2">
        <v>85</v>
      </c>
      <c r="F2">
        <v>92</v>
      </c>
    </row>
    <row r="3" spans="1:6" x14ac:dyDescent="0.35">
      <c r="A3">
        <v>2</v>
      </c>
      <c r="B3" t="s">
        <v>38</v>
      </c>
      <c r="C3">
        <v>88</v>
      </c>
      <c r="D3">
        <v>91</v>
      </c>
      <c r="E3">
        <v>90</v>
      </c>
      <c r="F3">
        <v>96</v>
      </c>
    </row>
    <row r="4" spans="1:6" x14ac:dyDescent="0.35">
      <c r="A4">
        <v>3</v>
      </c>
      <c r="B4" t="s">
        <v>39</v>
      </c>
      <c r="C4">
        <v>65</v>
      </c>
      <c r="D4">
        <v>70</v>
      </c>
      <c r="E4">
        <v>72</v>
      </c>
      <c r="F4">
        <v>85</v>
      </c>
    </row>
    <row r="5" spans="1:6" x14ac:dyDescent="0.35">
      <c r="A5">
        <v>4</v>
      </c>
      <c r="B5" t="s">
        <v>40</v>
      </c>
      <c r="C5">
        <v>92</v>
      </c>
      <c r="D5">
        <v>89</v>
      </c>
      <c r="E5">
        <v>94</v>
      </c>
      <c r="F5">
        <v>98</v>
      </c>
    </row>
    <row r="6" spans="1:6" x14ac:dyDescent="0.35">
      <c r="A6">
        <v>5</v>
      </c>
      <c r="B6" t="s">
        <v>41</v>
      </c>
      <c r="C6">
        <v>55</v>
      </c>
      <c r="D6">
        <v>60</v>
      </c>
      <c r="E6">
        <v>58</v>
      </c>
      <c r="F6">
        <v>80</v>
      </c>
    </row>
  </sheetData>
  <sheetProtection sheet="1" formatCells="0" formatColumns="0" formatRows="0" insertColumns="0" insertRows="0" insertHyperlinks="0" deleteColumns="0" deleteRows="0" sort="0" autoFilter="0" pivotTables="0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2"/>
  <sheetViews>
    <sheetView workbookViewId="0">
      <selection activeCell="A29" sqref="A29"/>
    </sheetView>
  </sheetViews>
  <sheetFormatPr defaultRowHeight="14.5" x14ac:dyDescent="0.35"/>
  <cols>
    <col min="1" max="1" width="57.90625" bestFit="1" customWidth="1"/>
  </cols>
  <sheetData>
    <row r="1" spans="1:10" x14ac:dyDescent="0.35">
      <c r="A1" t="s">
        <v>42</v>
      </c>
      <c r="J1">
        <v>2</v>
      </c>
    </row>
    <row r="2" spans="1:10" x14ac:dyDescent="0.35">
      <c r="A2" t="s">
        <v>43</v>
      </c>
      <c r="J2">
        <v>2</v>
      </c>
    </row>
    <row r="3" spans="1:10" x14ac:dyDescent="0.35">
      <c r="A3" t="s">
        <v>44</v>
      </c>
      <c r="J3">
        <v>2</v>
      </c>
    </row>
    <row r="4" spans="1:10" x14ac:dyDescent="0.35">
      <c r="A4" t="s">
        <v>45</v>
      </c>
      <c r="J4">
        <v>2</v>
      </c>
    </row>
    <row r="5" spans="1:10" x14ac:dyDescent="0.35">
      <c r="A5" t="s">
        <v>46</v>
      </c>
      <c r="J5">
        <v>2</v>
      </c>
    </row>
    <row r="6" spans="1:10" x14ac:dyDescent="0.35">
      <c r="A6" t="s">
        <v>47</v>
      </c>
      <c r="J6">
        <v>2</v>
      </c>
    </row>
    <row r="7" spans="1:10" x14ac:dyDescent="0.35">
      <c r="A7" t="s">
        <v>48</v>
      </c>
      <c r="J7">
        <v>2</v>
      </c>
    </row>
    <row r="8" spans="1:10" x14ac:dyDescent="0.35">
      <c r="A8" t="s">
        <v>49</v>
      </c>
      <c r="J8">
        <v>2</v>
      </c>
    </row>
    <row r="9" spans="1:10" x14ac:dyDescent="0.35">
      <c r="A9" t="s">
        <v>50</v>
      </c>
      <c r="J9">
        <v>2</v>
      </c>
    </row>
    <row r="10" spans="1:10" x14ac:dyDescent="0.35">
      <c r="A10" t="s">
        <v>51</v>
      </c>
      <c r="J10">
        <v>2</v>
      </c>
    </row>
    <row r="11" spans="1:10" x14ac:dyDescent="0.35">
      <c r="A11" t="s">
        <v>52</v>
      </c>
      <c r="J11">
        <v>2</v>
      </c>
    </row>
    <row r="12" spans="1:10" x14ac:dyDescent="0.35">
      <c r="A12" t="s">
        <v>53</v>
      </c>
      <c r="J12">
        <v>2</v>
      </c>
    </row>
    <row r="13" spans="1:10" x14ac:dyDescent="0.35">
      <c r="A13" t="s">
        <v>54</v>
      </c>
      <c r="J13">
        <v>2</v>
      </c>
    </row>
    <row r="14" spans="1:10" x14ac:dyDescent="0.35">
      <c r="A14" t="s">
        <v>55</v>
      </c>
      <c r="J14">
        <v>2</v>
      </c>
    </row>
    <row r="15" spans="1:10" x14ac:dyDescent="0.35">
      <c r="A15" t="s">
        <v>56</v>
      </c>
      <c r="J15">
        <v>2</v>
      </c>
    </row>
    <row r="16" spans="1:10" x14ac:dyDescent="0.35">
      <c r="A16" t="s">
        <v>57</v>
      </c>
      <c r="J16">
        <v>2</v>
      </c>
    </row>
    <row r="17" spans="1:10" x14ac:dyDescent="0.35">
      <c r="A17" t="s">
        <v>58</v>
      </c>
      <c r="J17">
        <v>2</v>
      </c>
    </row>
    <row r="18" spans="1:10" x14ac:dyDescent="0.35">
      <c r="A18" t="s">
        <v>59</v>
      </c>
      <c r="J18">
        <v>2</v>
      </c>
    </row>
    <row r="19" spans="1:10" x14ac:dyDescent="0.35">
      <c r="A19" t="s">
        <v>60</v>
      </c>
      <c r="J19">
        <v>2</v>
      </c>
    </row>
    <row r="20" spans="1:10" x14ac:dyDescent="0.35">
      <c r="A20" t="s">
        <v>61</v>
      </c>
      <c r="J20">
        <v>2</v>
      </c>
    </row>
    <row r="21" spans="1:10" x14ac:dyDescent="0.35">
      <c r="A21" t="s">
        <v>62</v>
      </c>
      <c r="J21">
        <v>2</v>
      </c>
    </row>
    <row r="22" spans="1:10" x14ac:dyDescent="0.35">
      <c r="A22" t="s">
        <v>63</v>
      </c>
      <c r="J22">
        <v>2</v>
      </c>
    </row>
    <row r="23" spans="1:10" x14ac:dyDescent="0.35">
      <c r="A23" t="s">
        <v>64</v>
      </c>
      <c r="J23">
        <v>2</v>
      </c>
    </row>
    <row r="24" spans="1:10" x14ac:dyDescent="0.35">
      <c r="A24" t="s">
        <v>65</v>
      </c>
      <c r="J24">
        <v>2</v>
      </c>
    </row>
    <row r="25" spans="1:10" x14ac:dyDescent="0.35">
      <c r="A25" t="s">
        <v>66</v>
      </c>
      <c r="J25">
        <v>2</v>
      </c>
    </row>
    <row r="26" spans="1:10" x14ac:dyDescent="0.35">
      <c r="A26" t="s">
        <v>67</v>
      </c>
      <c r="J26">
        <v>2</v>
      </c>
    </row>
    <row r="27" spans="1:10" x14ac:dyDescent="0.35">
      <c r="A27" t="s">
        <v>68</v>
      </c>
      <c r="J27">
        <v>2</v>
      </c>
    </row>
    <row r="28" spans="1:10" x14ac:dyDescent="0.35">
      <c r="A28" t="s">
        <v>69</v>
      </c>
      <c r="J28">
        <v>2</v>
      </c>
    </row>
    <row r="29" spans="1:10" x14ac:dyDescent="0.35">
      <c r="A29" t="s">
        <v>70</v>
      </c>
      <c r="J29">
        <v>2</v>
      </c>
    </row>
    <row r="30" spans="1:10" x14ac:dyDescent="0.35">
      <c r="A30" t="s">
        <v>71</v>
      </c>
      <c r="J30">
        <v>2</v>
      </c>
    </row>
    <row r="32" spans="1:10" x14ac:dyDescent="0.35">
      <c r="J32">
        <f>SUM(J1:J30)</f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F61C5-17CC-475C-9BE7-32B6026B320D}">
  <dimension ref="A2:L165"/>
  <sheetViews>
    <sheetView tabSelected="1" topLeftCell="A152" zoomScale="110" zoomScaleNormal="100" workbookViewId="0">
      <selection activeCell="B165" sqref="B165"/>
    </sheetView>
  </sheetViews>
  <sheetFormatPr defaultRowHeight="14.5" x14ac:dyDescent="0.35"/>
  <cols>
    <col min="2" max="2" width="29" bestFit="1" customWidth="1"/>
    <col min="3" max="3" width="24.7265625" bestFit="1" customWidth="1"/>
    <col min="4" max="4" width="15.1796875" bestFit="1" customWidth="1"/>
    <col min="5" max="5" width="11.453125" bestFit="1" customWidth="1"/>
    <col min="6" max="6" width="12.26953125" bestFit="1" customWidth="1"/>
    <col min="7" max="7" width="13.6328125" bestFit="1" customWidth="1"/>
    <col min="8" max="8" width="14.08984375" bestFit="1" customWidth="1"/>
    <col min="9" max="9" width="11.453125" bestFit="1" customWidth="1"/>
    <col min="10" max="10" width="18.08984375" bestFit="1" customWidth="1"/>
    <col min="12" max="12" width="8.26953125" bestFit="1" customWidth="1"/>
  </cols>
  <sheetData>
    <row r="2" spans="2:12" x14ac:dyDescent="0.35">
      <c r="B2" s="6" t="s">
        <v>73</v>
      </c>
    </row>
    <row r="3" spans="2:12" x14ac:dyDescent="0.35">
      <c r="B3">
        <f>Sales_Data!E2*Sales_Data!F2</f>
        <v>90000</v>
      </c>
    </row>
    <row r="5" spans="2:12" x14ac:dyDescent="0.35">
      <c r="B5" s="6" t="s">
        <v>74</v>
      </c>
      <c r="C5" s="6" t="s">
        <v>78</v>
      </c>
      <c r="D5" s="6" t="s">
        <v>91</v>
      </c>
      <c r="F5" s="6" t="s">
        <v>118</v>
      </c>
    </row>
    <row r="6" spans="2:12" x14ac:dyDescent="0.35"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76</v>
      </c>
      <c r="J6" s="4" t="s">
        <v>77</v>
      </c>
    </row>
    <row r="7" spans="2:12" x14ac:dyDescent="0.35">
      <c r="B7" s="3">
        <v>301</v>
      </c>
      <c r="C7" s="3" t="s">
        <v>11</v>
      </c>
      <c r="D7" s="3" t="s">
        <v>12</v>
      </c>
      <c r="E7" s="3" t="s">
        <v>13</v>
      </c>
      <c r="F7" s="3">
        <v>2</v>
      </c>
      <c r="G7" s="3">
        <v>45000</v>
      </c>
      <c r="H7" s="3" t="s">
        <v>14</v>
      </c>
      <c r="I7" s="3">
        <f>G7*F7*(VLOOKUP(AnswerSheet!E7,Product_Master!A1:C4,3))/100</f>
        <v>16200</v>
      </c>
      <c r="J7" s="3">
        <f>(G7*F7)+I7</f>
        <v>106200</v>
      </c>
    </row>
    <row r="8" spans="2:12" x14ac:dyDescent="0.35">
      <c r="B8" s="3">
        <v>306</v>
      </c>
      <c r="C8" s="3" t="s">
        <v>15</v>
      </c>
      <c r="D8" s="3" t="s">
        <v>16</v>
      </c>
      <c r="E8" s="3" t="s">
        <v>13</v>
      </c>
      <c r="F8" s="3">
        <v>2</v>
      </c>
      <c r="G8" s="3">
        <v>45000</v>
      </c>
      <c r="H8" s="3" t="s">
        <v>27</v>
      </c>
      <c r="I8" s="3">
        <f>G8*F8*(VLOOKUP(AnswerSheet!E7,Product_Master!A1:C4,3))/100</f>
        <v>16200</v>
      </c>
      <c r="J8" s="3">
        <f>(G8*F8)+I8</f>
        <v>106200</v>
      </c>
      <c r="L8" s="7" t="s">
        <v>119</v>
      </c>
    </row>
    <row r="9" spans="2:12" x14ac:dyDescent="0.35">
      <c r="B9" s="3">
        <v>302</v>
      </c>
      <c r="C9" s="3" t="s">
        <v>15</v>
      </c>
      <c r="D9" s="3" t="s">
        <v>16</v>
      </c>
      <c r="E9" s="3" t="s">
        <v>17</v>
      </c>
      <c r="F9" s="3">
        <v>5</v>
      </c>
      <c r="G9" s="3">
        <v>15000</v>
      </c>
      <c r="H9" s="3" t="s">
        <v>18</v>
      </c>
      <c r="I9" s="3">
        <f>G9*F9*(VLOOKUP(AnswerSheet!E7,Product_Master!A1:C4,3))/100</f>
        <v>13500</v>
      </c>
      <c r="J9" s="3">
        <f>(G9*F9)+I9</f>
        <v>88500</v>
      </c>
    </row>
    <row r="10" spans="2:12" x14ac:dyDescent="0.35">
      <c r="B10" s="3">
        <v>305</v>
      </c>
      <c r="C10" s="3" t="s">
        <v>11</v>
      </c>
      <c r="D10" s="3" t="s">
        <v>12</v>
      </c>
      <c r="E10" s="3" t="s">
        <v>17</v>
      </c>
      <c r="F10" s="3">
        <v>4</v>
      </c>
      <c r="G10" s="3">
        <v>15000</v>
      </c>
      <c r="H10" s="3" t="s">
        <v>26</v>
      </c>
      <c r="I10" s="3">
        <f>G10*F10*(VLOOKUP(AnswerSheet!E7,Product_Master!A1:C4,3))/100</f>
        <v>10800</v>
      </c>
      <c r="J10" s="3">
        <f>(G10*F10)+I10</f>
        <v>70800</v>
      </c>
    </row>
    <row r="11" spans="2:12" x14ac:dyDescent="0.35">
      <c r="B11" s="3">
        <v>303</v>
      </c>
      <c r="C11" s="3" t="s">
        <v>19</v>
      </c>
      <c r="D11" s="3" t="s">
        <v>20</v>
      </c>
      <c r="E11" s="3" t="s">
        <v>21</v>
      </c>
      <c r="F11" s="3">
        <v>3</v>
      </c>
      <c r="G11" s="3">
        <v>18000</v>
      </c>
      <c r="H11" s="3" t="s">
        <v>22</v>
      </c>
      <c r="I11" s="3">
        <f>G11*F11*(VLOOKUP(AnswerSheet!E7,Product_Master!A1:C4,3))/100</f>
        <v>9720</v>
      </c>
      <c r="J11" s="3">
        <f>(G11*F11)+I11</f>
        <v>63720</v>
      </c>
    </row>
    <row r="12" spans="2:12" x14ac:dyDescent="0.35">
      <c r="B12" s="3">
        <v>304</v>
      </c>
      <c r="C12" s="3" t="s">
        <v>23</v>
      </c>
      <c r="D12" s="3" t="s">
        <v>24</v>
      </c>
      <c r="E12" s="3" t="s">
        <v>13</v>
      </c>
      <c r="F12" s="3">
        <v>1</v>
      </c>
      <c r="G12" s="3">
        <v>45000</v>
      </c>
      <c r="H12" s="3" t="s">
        <v>25</v>
      </c>
      <c r="I12" s="3">
        <f>G12*F12*(VLOOKUP(AnswerSheet!E7,Product_Master!A1:C4,3))/100</f>
        <v>8100</v>
      </c>
      <c r="J12" s="3">
        <f>(G12*F12)+I12</f>
        <v>53100</v>
      </c>
    </row>
    <row r="13" spans="2:12" x14ac:dyDescent="0.35">
      <c r="I13" s="6" t="s">
        <v>75</v>
      </c>
      <c r="J13">
        <f>SUM(J7:J12)</f>
        <v>488520</v>
      </c>
    </row>
    <row r="15" spans="2:12" x14ac:dyDescent="0.35">
      <c r="B15" s="6" t="s">
        <v>79</v>
      </c>
    </row>
    <row r="16" spans="2:12" x14ac:dyDescent="0.35">
      <c r="B16" t="s">
        <v>80</v>
      </c>
      <c r="C16">
        <f>COUNTA(C7:C12)</f>
        <v>6</v>
      </c>
    </row>
    <row r="18" spans="2:3" x14ac:dyDescent="0.35">
      <c r="B18" s="6" t="s">
        <v>81</v>
      </c>
    </row>
    <row r="19" spans="2:3" x14ac:dyDescent="0.35">
      <c r="B19" s="3" t="s">
        <v>11</v>
      </c>
      <c r="C19" s="3">
        <f>SUMIF(C7:C12,C7,AnswerSheet!J7:J12)</f>
        <v>177000</v>
      </c>
    </row>
    <row r="20" spans="2:3" x14ac:dyDescent="0.35">
      <c r="B20" s="3" t="s">
        <v>15</v>
      </c>
      <c r="C20" s="3">
        <f>SUMIF(C7:C12,C8,J7:J12)</f>
        <v>194700</v>
      </c>
    </row>
    <row r="21" spans="2:3" x14ac:dyDescent="0.35">
      <c r="B21" s="3" t="s">
        <v>19</v>
      </c>
      <c r="C21" s="3">
        <f>SUMIF(C7:C12,C9,J7:J12)</f>
        <v>194700</v>
      </c>
    </row>
    <row r="22" spans="2:3" x14ac:dyDescent="0.35">
      <c r="B22" s="3" t="s">
        <v>23</v>
      </c>
      <c r="C22" s="3">
        <f>SUMIF(C7:C12,C10,J7:J12)</f>
        <v>177000</v>
      </c>
    </row>
    <row r="24" spans="2:3" x14ac:dyDescent="0.35">
      <c r="B24" s="6" t="s">
        <v>82</v>
      </c>
    </row>
    <row r="25" spans="2:3" x14ac:dyDescent="0.35">
      <c r="B25" s="4" t="s">
        <v>8</v>
      </c>
      <c r="C25" s="4" t="s">
        <v>83</v>
      </c>
    </row>
    <row r="26" spans="2:3" x14ac:dyDescent="0.35">
      <c r="B26" s="3">
        <v>2</v>
      </c>
      <c r="C26" s="3" t="str">
        <f>IF(B26&gt;3,"high","low")</f>
        <v>low</v>
      </c>
    </row>
    <row r="27" spans="2:3" x14ac:dyDescent="0.35">
      <c r="B27" s="3">
        <v>5</v>
      </c>
      <c r="C27" s="3" t="str">
        <f t="shared" ref="C27:C31" si="0">IF(B27&gt;3,"high","low")</f>
        <v>high</v>
      </c>
    </row>
    <row r="28" spans="2:3" x14ac:dyDescent="0.35">
      <c r="B28" s="3">
        <v>3</v>
      </c>
      <c r="C28" s="3" t="str">
        <f t="shared" si="0"/>
        <v>low</v>
      </c>
    </row>
    <row r="29" spans="2:3" x14ac:dyDescent="0.35">
      <c r="B29" s="3">
        <v>1</v>
      </c>
      <c r="C29" s="3" t="str">
        <f t="shared" si="0"/>
        <v>low</v>
      </c>
    </row>
    <row r="30" spans="2:3" x14ac:dyDescent="0.35">
      <c r="B30" s="3">
        <v>4</v>
      </c>
      <c r="C30" s="3" t="str">
        <f t="shared" si="0"/>
        <v>high</v>
      </c>
    </row>
    <row r="31" spans="2:3" x14ac:dyDescent="0.35">
      <c r="B31" s="3">
        <v>2</v>
      </c>
      <c r="C31" s="3" t="str">
        <f t="shared" si="0"/>
        <v>low</v>
      </c>
    </row>
    <row r="33" spans="2:10" x14ac:dyDescent="0.35">
      <c r="B33" s="6" t="s">
        <v>84</v>
      </c>
    </row>
    <row r="34" spans="2:10" x14ac:dyDescent="0.35">
      <c r="B34" s="3" t="s">
        <v>85</v>
      </c>
      <c r="C34" s="3">
        <f>MAX(J7:J12)</f>
        <v>106200</v>
      </c>
    </row>
    <row r="35" spans="2:10" x14ac:dyDescent="0.35">
      <c r="B35" s="3" t="s">
        <v>86</v>
      </c>
      <c r="C35" s="3">
        <f>MIN(J7:J12)</f>
        <v>53100</v>
      </c>
    </row>
    <row r="37" spans="2:10" x14ac:dyDescent="0.35">
      <c r="B37" s="6" t="s">
        <v>87</v>
      </c>
    </row>
    <row r="38" spans="2:10" x14ac:dyDescent="0.35">
      <c r="B38" t="s">
        <v>88</v>
      </c>
      <c r="C38" t="str">
        <f>TEXT(AnswerSheet!G2,"mmmm")</f>
        <v>January</v>
      </c>
    </row>
    <row r="39" spans="2:10" x14ac:dyDescent="0.35">
      <c r="B39" s="2"/>
    </row>
    <row r="40" spans="2:10" x14ac:dyDescent="0.35">
      <c r="B40" s="11" t="s">
        <v>89</v>
      </c>
    </row>
    <row r="41" spans="2:10" x14ac:dyDescent="0.35">
      <c r="B41" t="s">
        <v>90</v>
      </c>
    </row>
    <row r="43" spans="2:10" x14ac:dyDescent="0.35">
      <c r="B43" s="6" t="s">
        <v>92</v>
      </c>
    </row>
    <row r="44" spans="2:10" x14ac:dyDescent="0.35">
      <c r="B44" t="s">
        <v>93</v>
      </c>
    </row>
    <row r="46" spans="2:10" x14ac:dyDescent="0.35">
      <c r="B46" s="6" t="s">
        <v>94</v>
      </c>
      <c r="C46" s="6" t="s">
        <v>96</v>
      </c>
      <c r="D46" s="6" t="s">
        <v>100</v>
      </c>
    </row>
    <row r="47" spans="2:10" x14ac:dyDescent="0.35">
      <c r="B47" s="4" t="s">
        <v>31</v>
      </c>
      <c r="C47" s="4" t="s">
        <v>32</v>
      </c>
      <c r="D47" s="4" t="s">
        <v>33</v>
      </c>
      <c r="E47" s="4" t="s">
        <v>34</v>
      </c>
      <c r="F47" s="4" t="s">
        <v>35</v>
      </c>
      <c r="G47" s="4" t="s">
        <v>36</v>
      </c>
      <c r="H47" s="4" t="s">
        <v>95</v>
      </c>
      <c r="I47" s="4" t="s">
        <v>102</v>
      </c>
      <c r="J47" s="7" t="s">
        <v>97</v>
      </c>
    </row>
    <row r="48" spans="2:10" x14ac:dyDescent="0.35">
      <c r="B48" s="3">
        <v>1</v>
      </c>
      <c r="C48" s="3" t="s">
        <v>37</v>
      </c>
      <c r="D48" s="3">
        <v>78</v>
      </c>
      <c r="E48" s="3">
        <v>82</v>
      </c>
      <c r="F48" s="3">
        <v>85</v>
      </c>
      <c r="G48" s="3">
        <v>92</v>
      </c>
      <c r="H48" s="10">
        <f>AVERAGE(D48:F48)</f>
        <v>81.666666666666671</v>
      </c>
      <c r="I48" s="3" t="str">
        <f>IF(G48&gt;85,"Eligible","Not Eligible")</f>
        <v>Eligible</v>
      </c>
    </row>
    <row r="49" spans="2:9" x14ac:dyDescent="0.35">
      <c r="B49" s="3">
        <v>2</v>
      </c>
      <c r="C49" s="3" t="s">
        <v>38</v>
      </c>
      <c r="D49" s="3">
        <v>88</v>
      </c>
      <c r="E49" s="3">
        <v>91</v>
      </c>
      <c r="F49" s="3">
        <v>90</v>
      </c>
      <c r="G49" s="3">
        <v>96</v>
      </c>
      <c r="H49" s="10">
        <f t="shared" ref="H49:H52" si="1">AVERAGE(D49:F49)</f>
        <v>89.666666666666671</v>
      </c>
      <c r="I49" s="3" t="str">
        <f>IF(G49&gt;85,"Eligible","Not Eligible")</f>
        <v>Eligible</v>
      </c>
    </row>
    <row r="50" spans="2:9" x14ac:dyDescent="0.35">
      <c r="B50" s="3">
        <v>3</v>
      </c>
      <c r="C50" s="3" t="s">
        <v>39</v>
      </c>
      <c r="D50" s="3">
        <v>65</v>
      </c>
      <c r="E50" s="3">
        <v>70</v>
      </c>
      <c r="F50" s="3">
        <v>72</v>
      </c>
      <c r="G50" s="3">
        <v>85</v>
      </c>
      <c r="H50" s="10">
        <f t="shared" si="1"/>
        <v>69</v>
      </c>
      <c r="I50" s="3" t="str">
        <f>IF(G50&gt;85,"Eligible","Not Eligible")</f>
        <v>Not Eligible</v>
      </c>
    </row>
    <row r="51" spans="2:9" x14ac:dyDescent="0.35">
      <c r="B51" s="3">
        <v>4</v>
      </c>
      <c r="C51" s="3" t="s">
        <v>40</v>
      </c>
      <c r="D51" s="3">
        <v>92</v>
      </c>
      <c r="E51" s="3">
        <v>89</v>
      </c>
      <c r="F51" s="3">
        <v>94</v>
      </c>
      <c r="G51" s="3">
        <v>98</v>
      </c>
      <c r="H51" s="10">
        <f t="shared" si="1"/>
        <v>91.666666666666671</v>
      </c>
      <c r="I51" s="3" t="str">
        <f>IF(G51&gt;85,"Eligible","Not Eligible")</f>
        <v>Eligible</v>
      </c>
    </row>
    <row r="52" spans="2:9" x14ac:dyDescent="0.35">
      <c r="B52" s="3">
        <v>5</v>
      </c>
      <c r="C52" s="3" t="s">
        <v>41</v>
      </c>
      <c r="D52" s="3">
        <v>55</v>
      </c>
      <c r="E52" s="3">
        <v>60</v>
      </c>
      <c r="F52" s="3">
        <v>58</v>
      </c>
      <c r="G52" s="3">
        <v>80</v>
      </c>
      <c r="H52" s="10">
        <f t="shared" si="1"/>
        <v>57.666666666666664</v>
      </c>
      <c r="I52" s="3" t="str">
        <f>IF(G52&gt;85,"Eligible","Not Eligible")</f>
        <v>Not Eligible</v>
      </c>
    </row>
    <row r="54" spans="2:9" x14ac:dyDescent="0.35">
      <c r="B54" s="6" t="s">
        <v>98</v>
      </c>
    </row>
    <row r="55" spans="2:9" x14ac:dyDescent="0.35">
      <c r="B55" s="3" t="s">
        <v>99</v>
      </c>
      <c r="C55" s="3">
        <f>COUNTIF(G48:G52,"&gt;90")</f>
        <v>3</v>
      </c>
    </row>
    <row r="57" spans="2:9" x14ac:dyDescent="0.35">
      <c r="B57" s="6" t="s">
        <v>100</v>
      </c>
    </row>
    <row r="58" spans="2:9" x14ac:dyDescent="0.35">
      <c r="B58" t="s">
        <v>101</v>
      </c>
    </row>
    <row r="60" spans="2:9" x14ac:dyDescent="0.35">
      <c r="B60" s="6" t="s">
        <v>103</v>
      </c>
    </row>
    <row r="61" spans="2:9" x14ac:dyDescent="0.35">
      <c r="B61" t="s">
        <v>109</v>
      </c>
    </row>
    <row r="62" spans="2:9" x14ac:dyDescent="0.35">
      <c r="B62" s="8" t="s">
        <v>104</v>
      </c>
      <c r="C62" t="s">
        <v>106</v>
      </c>
    </row>
    <row r="63" spans="2:9" x14ac:dyDescent="0.35">
      <c r="B63" s="9" t="s">
        <v>13</v>
      </c>
      <c r="C63">
        <v>265500</v>
      </c>
    </row>
    <row r="64" spans="2:9" x14ac:dyDescent="0.35">
      <c r="B64" s="9" t="s">
        <v>17</v>
      </c>
      <c r="C64">
        <v>159300</v>
      </c>
    </row>
    <row r="65" spans="2:3" x14ac:dyDescent="0.35">
      <c r="B65" s="9" t="s">
        <v>21</v>
      </c>
      <c r="C65">
        <v>63720</v>
      </c>
    </row>
    <row r="66" spans="2:3" x14ac:dyDescent="0.35">
      <c r="B66" s="9" t="s">
        <v>105</v>
      </c>
      <c r="C66">
        <v>488520</v>
      </c>
    </row>
    <row r="68" spans="2:3" x14ac:dyDescent="0.35">
      <c r="B68" s="12" t="s">
        <v>107</v>
      </c>
    </row>
    <row r="69" spans="2:3" x14ac:dyDescent="0.35">
      <c r="B69" s="9" t="s">
        <v>108</v>
      </c>
    </row>
    <row r="70" spans="2:3" x14ac:dyDescent="0.35">
      <c r="B70" s="8" t="s">
        <v>104</v>
      </c>
      <c r="C70" t="s">
        <v>106</v>
      </c>
    </row>
    <row r="71" spans="2:3" x14ac:dyDescent="0.35">
      <c r="B71" s="9" t="s">
        <v>19</v>
      </c>
      <c r="C71">
        <v>63720</v>
      </c>
    </row>
    <row r="72" spans="2:3" x14ac:dyDescent="0.35">
      <c r="B72" s="9" t="s">
        <v>11</v>
      </c>
      <c r="C72">
        <v>177000</v>
      </c>
    </row>
    <row r="73" spans="2:3" x14ac:dyDescent="0.35">
      <c r="B73" s="9" t="s">
        <v>15</v>
      </c>
      <c r="C73">
        <v>194700</v>
      </c>
    </row>
    <row r="74" spans="2:3" x14ac:dyDescent="0.35">
      <c r="B74" s="9" t="s">
        <v>23</v>
      </c>
      <c r="C74">
        <v>53100</v>
      </c>
    </row>
    <row r="75" spans="2:3" x14ac:dyDescent="0.35">
      <c r="B75" s="9" t="s">
        <v>105</v>
      </c>
      <c r="C75">
        <v>488520</v>
      </c>
    </row>
    <row r="77" spans="2:3" x14ac:dyDescent="0.35">
      <c r="B77" s="12" t="s">
        <v>110</v>
      </c>
    </row>
    <row r="93" spans="2:2" x14ac:dyDescent="0.35">
      <c r="B93" s="12" t="s">
        <v>111</v>
      </c>
    </row>
    <row r="111" spans="2:2" x14ac:dyDescent="0.35">
      <c r="B111" s="6" t="s">
        <v>112</v>
      </c>
    </row>
    <row r="112" spans="2:2" x14ac:dyDescent="0.35">
      <c r="B112">
        <f>MEDIAN(E48,E49,E50,E51,E52)</f>
        <v>82</v>
      </c>
    </row>
    <row r="114" spans="1:4" x14ac:dyDescent="0.35">
      <c r="B114" s="6" t="s">
        <v>113</v>
      </c>
    </row>
    <row r="115" spans="1:4" x14ac:dyDescent="0.35">
      <c r="B115" s="5">
        <f>_xlfn.STDEV.S(F48:F52)</f>
        <v>14.737706741552426</v>
      </c>
    </row>
    <row r="117" spans="1:4" x14ac:dyDescent="0.35">
      <c r="A117" s="6"/>
      <c r="B117" s="6" t="s">
        <v>114</v>
      </c>
    </row>
    <row r="118" spans="1:4" x14ac:dyDescent="0.35">
      <c r="B118" s="4" t="s">
        <v>31</v>
      </c>
      <c r="C118" s="4" t="s">
        <v>32</v>
      </c>
      <c r="D118" s="4" t="s">
        <v>115</v>
      </c>
    </row>
    <row r="119" spans="1:4" x14ac:dyDescent="0.35">
      <c r="B119" s="3">
        <v>1</v>
      </c>
      <c r="C119" s="3" t="s">
        <v>37</v>
      </c>
      <c r="D119" s="3" t="str">
        <f>_xlfn.CONCAT(B119,C119)</f>
        <v>1Rahul</v>
      </c>
    </row>
    <row r="120" spans="1:4" x14ac:dyDescent="0.35">
      <c r="B120" s="3">
        <v>2</v>
      </c>
      <c r="C120" s="3" t="s">
        <v>38</v>
      </c>
      <c r="D120" s="3" t="str">
        <f>_xlfn.CONCAT(B120,C120)</f>
        <v>2Sneha</v>
      </c>
    </row>
    <row r="121" spans="1:4" x14ac:dyDescent="0.35">
      <c r="B121" s="3">
        <v>3</v>
      </c>
      <c r="C121" s="3" t="s">
        <v>39</v>
      </c>
      <c r="D121" s="3" t="str">
        <f>_xlfn.CONCAT(B121,C121)</f>
        <v>3Arjun</v>
      </c>
    </row>
    <row r="122" spans="1:4" x14ac:dyDescent="0.35">
      <c r="B122" s="3">
        <v>4</v>
      </c>
      <c r="C122" s="3" t="s">
        <v>40</v>
      </c>
      <c r="D122" s="3" t="str">
        <f>_xlfn.CONCAT(B122,C122)</f>
        <v>4Pooja</v>
      </c>
    </row>
    <row r="123" spans="1:4" x14ac:dyDescent="0.35">
      <c r="B123" s="3">
        <v>5</v>
      </c>
      <c r="C123" s="3" t="s">
        <v>41</v>
      </c>
      <c r="D123" s="3" t="str">
        <f>_xlfn.CONCAT(B123,C123)</f>
        <v>5Vikas</v>
      </c>
    </row>
    <row r="125" spans="1:4" x14ac:dyDescent="0.35">
      <c r="B125" s="6" t="s">
        <v>116</v>
      </c>
    </row>
    <row r="126" spans="1:4" x14ac:dyDescent="0.35">
      <c r="B126" s="4" t="s">
        <v>6</v>
      </c>
      <c r="C126" s="4" t="s">
        <v>117</v>
      </c>
    </row>
    <row r="127" spans="1:4" x14ac:dyDescent="0.35">
      <c r="B127" s="3" t="s">
        <v>12</v>
      </c>
      <c r="C127" s="3" t="str">
        <f>LEFT(B127,2)</f>
        <v>Am</v>
      </c>
    </row>
    <row r="128" spans="1:4" x14ac:dyDescent="0.35">
      <c r="B128" s="3" t="s">
        <v>16</v>
      </c>
      <c r="C128" s="3" t="str">
        <f>LEFT(B128,2)</f>
        <v>Ri</v>
      </c>
    </row>
    <row r="129" spans="2:8" x14ac:dyDescent="0.35">
      <c r="B129" s="3" t="s">
        <v>16</v>
      </c>
      <c r="C129" s="3" t="str">
        <f>LEFT(B129,2)</f>
        <v>Ri</v>
      </c>
    </row>
    <row r="130" spans="2:8" x14ac:dyDescent="0.35">
      <c r="B130" s="3" t="s">
        <v>12</v>
      </c>
      <c r="C130" s="3" t="str">
        <f>LEFT(B130,2)</f>
        <v>Am</v>
      </c>
    </row>
    <row r="131" spans="2:8" x14ac:dyDescent="0.35">
      <c r="B131" s="3" t="s">
        <v>20</v>
      </c>
      <c r="C131" s="3" t="str">
        <f>LEFT(B131,2)</f>
        <v>Ku</v>
      </c>
    </row>
    <row r="132" spans="2:8" x14ac:dyDescent="0.35">
      <c r="B132" s="3" t="s">
        <v>24</v>
      </c>
      <c r="C132" s="3" t="str">
        <f>LEFT(B132,2)</f>
        <v>Ne</v>
      </c>
    </row>
    <row r="134" spans="2:8" x14ac:dyDescent="0.35">
      <c r="B134" s="6" t="s">
        <v>118</v>
      </c>
    </row>
    <row r="135" spans="2:8" x14ac:dyDescent="0.35">
      <c r="B135" t="s">
        <v>123</v>
      </c>
    </row>
    <row r="137" spans="2:8" x14ac:dyDescent="0.35">
      <c r="B137" s="6" t="s">
        <v>120</v>
      </c>
    </row>
    <row r="138" spans="2:8" x14ac:dyDescent="0.35">
      <c r="B138" s="3" t="s">
        <v>4</v>
      </c>
      <c r="C138" s="3" t="s">
        <v>5</v>
      </c>
      <c r="D138" s="3" t="s">
        <v>6</v>
      </c>
      <c r="E138" s="3" t="s">
        <v>7</v>
      </c>
      <c r="F138" s="3" t="s">
        <v>8</v>
      </c>
      <c r="G138" s="3" t="s">
        <v>9</v>
      </c>
      <c r="H138" s="3" t="s">
        <v>10</v>
      </c>
    </row>
    <row r="139" spans="2:8" x14ac:dyDescent="0.35">
      <c r="B139" s="3">
        <v>301</v>
      </c>
      <c r="C139" s="3" t="s">
        <v>11</v>
      </c>
      <c r="D139" s="3" t="s">
        <v>12</v>
      </c>
      <c r="E139" s="3" t="s">
        <v>13</v>
      </c>
      <c r="F139" s="3">
        <v>2</v>
      </c>
      <c r="G139" s="3">
        <v>45000</v>
      </c>
      <c r="H139" s="13" t="s">
        <v>14</v>
      </c>
    </row>
    <row r="140" spans="2:8" x14ac:dyDescent="0.35">
      <c r="B140" s="3">
        <v>302</v>
      </c>
      <c r="C140" s="3" t="s">
        <v>15</v>
      </c>
      <c r="D140" s="3" t="s">
        <v>16</v>
      </c>
      <c r="E140" s="3" t="s">
        <v>17</v>
      </c>
      <c r="F140" s="3">
        <v>5</v>
      </c>
      <c r="G140" s="3">
        <v>15000</v>
      </c>
      <c r="H140" s="13" t="s">
        <v>18</v>
      </c>
    </row>
    <row r="141" spans="2:8" x14ac:dyDescent="0.35">
      <c r="B141" s="3">
        <v>303</v>
      </c>
      <c r="C141" s="3" t="s">
        <v>19</v>
      </c>
      <c r="D141" s="3" t="s">
        <v>20</v>
      </c>
      <c r="E141" s="3" t="s">
        <v>21</v>
      </c>
      <c r="F141" s="3">
        <v>3</v>
      </c>
      <c r="G141" s="3">
        <v>18000</v>
      </c>
      <c r="H141" s="13" t="s">
        <v>22</v>
      </c>
    </row>
    <row r="142" spans="2:8" x14ac:dyDescent="0.35">
      <c r="B142" s="3">
        <v>304</v>
      </c>
      <c r="C142" s="3" t="s">
        <v>23</v>
      </c>
      <c r="D142" s="3" t="s">
        <v>24</v>
      </c>
      <c r="E142" s="3" t="s">
        <v>13</v>
      </c>
      <c r="F142" s="3">
        <v>1</v>
      </c>
      <c r="G142" s="3">
        <v>45000</v>
      </c>
      <c r="H142" s="13" t="s">
        <v>25</v>
      </c>
    </row>
    <row r="143" spans="2:8" x14ac:dyDescent="0.35">
      <c r="B143" s="3">
        <v>305</v>
      </c>
      <c r="C143" s="3" t="s">
        <v>11</v>
      </c>
      <c r="D143" s="3" t="s">
        <v>12</v>
      </c>
      <c r="E143" s="3" t="s">
        <v>17</v>
      </c>
      <c r="F143" s="3">
        <v>4</v>
      </c>
      <c r="G143" s="3">
        <v>15000</v>
      </c>
      <c r="H143" s="13" t="s">
        <v>26</v>
      </c>
    </row>
    <row r="144" spans="2:8" x14ac:dyDescent="0.35">
      <c r="B144" s="3">
        <v>306</v>
      </c>
      <c r="C144" s="3" t="s">
        <v>15</v>
      </c>
      <c r="D144" s="3" t="s">
        <v>16</v>
      </c>
      <c r="E144" s="3" t="s">
        <v>13</v>
      </c>
      <c r="F144" s="3">
        <v>2</v>
      </c>
      <c r="G144" s="3">
        <v>45000</v>
      </c>
      <c r="H144" s="13" t="s">
        <v>27</v>
      </c>
    </row>
    <row r="147" spans="2:3" x14ac:dyDescent="0.35">
      <c r="B147" s="6" t="s">
        <v>122</v>
      </c>
    </row>
    <row r="148" spans="2:3" x14ac:dyDescent="0.35">
      <c r="B148" s="6" t="s">
        <v>121</v>
      </c>
      <c r="C148">
        <f>COUNTIFS(Sales_Data!B2:B7,Sales_Data!B2,Sales_Data!D2:D7,Sales_Data!D2)</f>
        <v>1</v>
      </c>
    </row>
    <row r="150" spans="2:3" x14ac:dyDescent="0.35">
      <c r="B150" s="6" t="s">
        <v>124</v>
      </c>
      <c r="C150" t="s">
        <v>125</v>
      </c>
    </row>
    <row r="151" spans="2:3" x14ac:dyDescent="0.35">
      <c r="B151">
        <v>45000</v>
      </c>
      <c r="C151">
        <f>ROUND(B151,-3)</f>
        <v>45000</v>
      </c>
    </row>
    <row r="152" spans="2:3" x14ac:dyDescent="0.35">
      <c r="B152">
        <v>15000</v>
      </c>
      <c r="C152">
        <f t="shared" ref="C152:C156" si="2">ROUND(B152,-3)</f>
        <v>15000</v>
      </c>
    </row>
    <row r="153" spans="2:3" x14ac:dyDescent="0.35">
      <c r="B153">
        <v>18000</v>
      </c>
      <c r="C153">
        <f t="shared" si="2"/>
        <v>18000</v>
      </c>
    </row>
    <row r="154" spans="2:3" x14ac:dyDescent="0.35">
      <c r="B154">
        <v>45000</v>
      </c>
      <c r="C154">
        <f t="shared" si="2"/>
        <v>45000</v>
      </c>
    </row>
    <row r="155" spans="2:3" x14ac:dyDescent="0.35">
      <c r="B155">
        <v>15000</v>
      </c>
      <c r="C155">
        <f t="shared" si="2"/>
        <v>15000</v>
      </c>
    </row>
    <row r="156" spans="2:3" x14ac:dyDescent="0.35">
      <c r="B156">
        <v>45000</v>
      </c>
      <c r="C156">
        <f t="shared" si="2"/>
        <v>45000</v>
      </c>
    </row>
    <row r="158" spans="2:3" x14ac:dyDescent="0.35">
      <c r="B158" s="6" t="s">
        <v>126</v>
      </c>
    </row>
    <row r="159" spans="2:3" x14ac:dyDescent="0.35">
      <c r="B159" t="s">
        <v>132</v>
      </c>
    </row>
    <row r="161" spans="2:2" x14ac:dyDescent="0.35">
      <c r="B161" s="6" t="s">
        <v>127</v>
      </c>
    </row>
    <row r="162" spans="2:2" x14ac:dyDescent="0.35">
      <c r="B162" t="s">
        <v>133</v>
      </c>
    </row>
    <row r="164" spans="2:2" x14ac:dyDescent="0.35">
      <c r="B164" s="6" t="s">
        <v>128</v>
      </c>
    </row>
    <row r="165" spans="2:2" x14ac:dyDescent="0.35">
      <c r="B165" t="s">
        <v>134</v>
      </c>
    </row>
  </sheetData>
  <autoFilter ref="B138:H144" xr:uid="{7CEF61C5-17CC-475C-9BE7-32B6026B320D}"/>
  <sortState xmlns:xlrd2="http://schemas.microsoft.com/office/spreadsheetml/2017/richdata2" ref="B7:J12">
    <sortCondition descending="1" ref="J7:J12"/>
  </sortState>
  <conditionalFormatting sqref="H48:H52">
    <cfRule type="top10" dxfId="1" priority="2" rank="1"/>
  </conditionalFormatting>
  <conditionalFormatting sqref="J7:J12">
    <cfRule type="cellIs" dxfId="0" priority="1" operator="greaterThan">
      <formula>60000</formula>
    </cfRule>
  </conditionalFormatting>
  <pageMargins left="0.7" right="0.7" top="0.75" bottom="0.75" header="0.3" footer="0.3"/>
  <ignoredErrors>
    <ignoredError sqref="H48:H52" formulaRange="1"/>
  </ignoredError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Sales_Data</vt:lpstr>
      <vt:lpstr>Product_Master</vt:lpstr>
      <vt:lpstr>Student_Marks</vt:lpstr>
      <vt:lpstr>Questions</vt:lpstr>
      <vt:lpstr>AnswerSheet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nitya gohel</cp:lastModifiedBy>
  <dcterms:created xsi:type="dcterms:W3CDTF">2025-12-20T09:26:06Z</dcterms:created>
  <dcterms:modified xsi:type="dcterms:W3CDTF">2026-07-09T07:34:07Z</dcterms:modified>
</cp:coreProperties>
</file>