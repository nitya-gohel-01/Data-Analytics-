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P\Desktop\DataAnalytics\Excel\"/>
    </mc:Choice>
  </mc:AlternateContent>
  <xr:revisionPtr revIDLastSave="0" documentId="13_ncr:1_{9257B787-26EF-45EF-BD98-29CCF1CF20C5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Product Code" sheetId="1" r:id="rId1"/>
    <sheet name="Employee Code" sheetId="2" r:id="rId2"/>
    <sheet name="File Names" sheetId="3" r:id="rId3"/>
    <sheet name="Interview Leve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4" l="1"/>
  <c r="J5" i="4"/>
  <c r="J6" i="4"/>
  <c r="J7" i="4"/>
  <c r="J8" i="4"/>
  <c r="J9" i="4"/>
  <c r="J10" i="4"/>
  <c r="J11" i="4"/>
  <c r="J12" i="4"/>
  <c r="J3" i="4"/>
  <c r="I4" i="4"/>
  <c r="I5" i="4"/>
  <c r="I6" i="4"/>
  <c r="I7" i="4"/>
  <c r="I8" i="4"/>
  <c r="I9" i="4"/>
  <c r="I10" i="4"/>
  <c r="I11" i="4"/>
  <c r="I12" i="4"/>
  <c r="I3" i="4"/>
  <c r="H4" i="4"/>
  <c r="H5" i="4"/>
  <c r="H6" i="4"/>
  <c r="H7" i="4"/>
  <c r="H8" i="4"/>
  <c r="H9" i="4"/>
  <c r="H10" i="4"/>
  <c r="H11" i="4"/>
  <c r="H12" i="4"/>
  <c r="H3" i="4"/>
  <c r="G4" i="4"/>
  <c r="G5" i="4"/>
  <c r="G6" i="4"/>
  <c r="G7" i="4"/>
  <c r="G8" i="4"/>
  <c r="G9" i="4"/>
  <c r="G10" i="4"/>
  <c r="G11" i="4"/>
  <c r="G12" i="4"/>
  <c r="G3" i="4"/>
  <c r="F4" i="4"/>
  <c r="F5" i="4"/>
  <c r="F6" i="4"/>
  <c r="F7" i="4"/>
  <c r="F8" i="4"/>
  <c r="F9" i="4"/>
  <c r="F10" i="4"/>
  <c r="F11" i="4"/>
  <c r="F12" i="4"/>
  <c r="F3" i="4"/>
  <c r="E4" i="4"/>
  <c r="E5" i="4"/>
  <c r="E6" i="4"/>
  <c r="E7" i="4"/>
  <c r="E8" i="4"/>
  <c r="E9" i="4"/>
  <c r="E10" i="4"/>
  <c r="E11" i="4"/>
  <c r="E12" i="4"/>
  <c r="E3" i="4"/>
  <c r="F4" i="3"/>
  <c r="F5" i="3"/>
  <c r="F6" i="3"/>
  <c r="F7" i="3"/>
  <c r="F8" i="3"/>
  <c r="F9" i="3"/>
  <c r="F10" i="3"/>
  <c r="F11" i="3"/>
  <c r="F12" i="3"/>
  <c r="F3" i="3"/>
  <c r="E4" i="3"/>
  <c r="E5" i="3"/>
  <c r="E6" i="3"/>
  <c r="E7" i="3"/>
  <c r="E8" i="3"/>
  <c r="E9" i="3"/>
  <c r="E10" i="3"/>
  <c r="E11" i="3"/>
  <c r="E12" i="3"/>
  <c r="E3" i="3"/>
  <c r="J4" i="2"/>
  <c r="J5" i="2"/>
  <c r="J6" i="2"/>
  <c r="J7" i="2"/>
  <c r="J8" i="2"/>
  <c r="J9" i="2"/>
  <c r="J10" i="2"/>
  <c r="J11" i="2"/>
  <c r="J12" i="2"/>
  <c r="J3" i="2"/>
  <c r="I4" i="2"/>
  <c r="I5" i="2"/>
  <c r="I6" i="2"/>
  <c r="I7" i="2"/>
  <c r="I8" i="2"/>
  <c r="I9" i="2"/>
  <c r="I10" i="2"/>
  <c r="I11" i="2"/>
  <c r="I12" i="2"/>
  <c r="I3" i="2"/>
  <c r="G5" i="2"/>
  <c r="H4" i="2"/>
  <c r="H5" i="2"/>
  <c r="H6" i="2"/>
  <c r="H7" i="2"/>
  <c r="H8" i="2"/>
  <c r="H9" i="2"/>
  <c r="H10" i="2"/>
  <c r="H11" i="2"/>
  <c r="H12" i="2"/>
  <c r="H3" i="2"/>
  <c r="F4" i="2"/>
  <c r="G4" i="2" s="1"/>
  <c r="G6" i="2"/>
  <c r="G7" i="2"/>
  <c r="G8" i="2"/>
  <c r="G9" i="2"/>
  <c r="G10" i="2"/>
  <c r="G11" i="2"/>
  <c r="G12" i="2"/>
  <c r="G3" i="2"/>
  <c r="F5" i="2"/>
  <c r="F6" i="2"/>
  <c r="F7" i="2"/>
  <c r="F8" i="2"/>
  <c r="F9" i="2"/>
  <c r="F10" i="2"/>
  <c r="F11" i="2"/>
  <c r="F12" i="2"/>
  <c r="F3" i="2"/>
  <c r="E4" i="2"/>
  <c r="E5" i="2"/>
  <c r="E6" i="2"/>
  <c r="E7" i="2"/>
  <c r="E8" i="2"/>
  <c r="E9" i="2"/>
  <c r="E10" i="2"/>
  <c r="E11" i="2"/>
  <c r="E12" i="2"/>
  <c r="E3" i="2"/>
  <c r="H4" i="1"/>
  <c r="H5" i="1"/>
  <c r="H6" i="1"/>
  <c r="H7" i="1"/>
  <c r="H8" i="1"/>
  <c r="H9" i="1"/>
  <c r="H10" i="1"/>
  <c r="H11" i="1"/>
  <c r="H12" i="1"/>
  <c r="H3" i="1"/>
  <c r="F3" i="1"/>
  <c r="G3" i="1" s="1"/>
  <c r="G10" i="1"/>
  <c r="G11" i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F11" i="1"/>
  <c r="F12" i="1"/>
  <c r="G12" i="1" s="1"/>
  <c r="E4" i="1"/>
  <c r="E5" i="1"/>
  <c r="E6" i="1"/>
  <c r="E7" i="1"/>
  <c r="E8" i="1"/>
  <c r="E9" i="1"/>
  <c r="E10" i="1"/>
  <c r="E11" i="1"/>
  <c r="E12" i="1"/>
  <c r="E3" i="1"/>
</calcChain>
</file>

<file path=xl/sharedStrings.xml><?xml version="1.0" encoding="utf-8"?>
<sst xmlns="http://schemas.openxmlformats.org/spreadsheetml/2006/main" count="62" uniqueCount="60">
  <si>
    <t>Product Code</t>
  </si>
  <si>
    <t>LAP-HP-1548</t>
  </si>
  <si>
    <t>MOBILE-SAMSUNG-99875</t>
  </si>
  <si>
    <t>TV-LG-987</t>
  </si>
  <si>
    <t>MONITOR-DELL-65432</t>
  </si>
  <si>
    <t>KEYBOARD-LOGITECH-4589</t>
  </si>
  <si>
    <t>MOUSE-HP-321</t>
  </si>
  <si>
    <t>SSD-KINGSTON-85421</t>
  </si>
  <si>
    <t>HDD-SEAGATE-777</t>
  </si>
  <si>
    <t>CAMERA-CANON-95124</t>
  </si>
  <si>
    <t>TABLET-APPLE-2026</t>
  </si>
  <si>
    <t>Product Name</t>
  </si>
  <si>
    <t>Remaining Part</t>
  </si>
  <si>
    <t>Brand</t>
  </si>
  <si>
    <t>Product Number</t>
  </si>
  <si>
    <t>Employee Code</t>
  </si>
  <si>
    <t>EMP-IT-4589-GUJ</t>
  </si>
  <si>
    <t>EMP-HR-7894-DEL</t>
  </si>
  <si>
    <t>EMP-FIN-1234-MUM</t>
  </si>
  <si>
    <t>EMP-MKT-8855-BLR</t>
  </si>
  <si>
    <t>EMP-DS-4567-HYD</t>
  </si>
  <si>
    <t>EMP-AI-9988-PUN</t>
  </si>
  <si>
    <t>EMP-QA-7854-JAI</t>
  </si>
  <si>
    <t>EMP-UX-3321-SUR</t>
  </si>
  <si>
    <t>EMP-BA-6512-RAJ</t>
  </si>
  <si>
    <t>EMP-DEV-1001-GOA</t>
  </si>
  <si>
    <t>Prefix</t>
  </si>
  <si>
    <t>Remaining</t>
  </si>
  <si>
    <t>Department</t>
  </si>
  <si>
    <t>EmployeeID</t>
  </si>
  <si>
    <t>City Code</t>
  </si>
  <si>
    <t>File Name</t>
  </si>
  <si>
    <t>report_final_v1.pdf</t>
  </si>
  <si>
    <t>sales_data_2026.xlsx</t>
  </si>
  <si>
    <t>employee_list.csv</t>
  </si>
  <si>
    <t>presentation_final.pptx</t>
  </si>
  <si>
    <t>photo_profile.jpg</t>
  </si>
  <si>
    <t>notes_backup.docx</t>
  </si>
  <si>
    <t>python_project.zip</t>
  </si>
  <si>
    <t>movie_list.txt</t>
  </si>
  <si>
    <t>database_export.sql</t>
  </si>
  <si>
    <t>analytics_dashboard.pbix</t>
  </si>
  <si>
    <t>Name Without Extension</t>
  </si>
  <si>
    <t>File Extension</t>
  </si>
  <si>
    <t>Value</t>
  </si>
  <si>
    <t>INV-2026-GUJ-000458</t>
  </si>
  <si>
    <t>ORD-IND-45892</t>
  </si>
  <si>
    <t>DATA_ANALYST_2026</t>
  </si>
  <si>
    <t>SQL-BEGINNER-LEVEL</t>
  </si>
  <si>
    <t>PYTHON_ADVANCED_01</t>
  </si>
  <si>
    <t>HR-EMPLOYEE-9987</t>
  </si>
  <si>
    <t>REPORT_FINAL_V3.pdf</t>
  </si>
  <si>
    <t>SALES_DATA_BACKUP.xlsx</t>
  </si>
  <si>
    <t>AI_ML_DS_PROJECT</t>
  </si>
  <si>
    <t>Hyphen</t>
  </si>
  <si>
    <t>Underscore</t>
  </si>
  <si>
    <t>Delimeter</t>
  </si>
  <si>
    <t>Dot</t>
  </si>
  <si>
    <t>Pattern</t>
  </si>
  <si>
    <t>Record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</si>
</sst>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H12"/>
  <sheetViews>
    <sheetView workbookViewId="0">
      <selection activeCell="B7" sqref="B7"/>
    </sheetView>
  </sheetViews>
  <sheetFormatPr defaultRowHeight="14.5" x14ac:dyDescent="0.35"/>
  <cols>
    <col min="4" max="4" width="23.7265625" bestFit="1" customWidth="1"/>
    <col min="5" max="5" width="12.90625" bestFit="1" customWidth="1"/>
    <col min="6" max="6" width="15.1796875" bestFit="1" customWidth="1"/>
    <col min="7" max="7" width="9.453125" bestFit="1" customWidth="1"/>
    <col min="8" max="8" width="14.81640625" bestFit="1" customWidth="1"/>
  </cols>
  <sheetData>
    <row r="2" spans="4:8" x14ac:dyDescent="0.35">
      <c r="D2" s="3" t="s">
        <v>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4:8" x14ac:dyDescent="0.35">
      <c r="D3" s="4" t="s">
        <v>1</v>
      </c>
      <c r="E3" s="5" t="str">
        <f>LEFT(D3,FIND("-",D3)-1)</f>
        <v>LAP</v>
      </c>
      <c r="F3" s="5" t="str">
        <f>RIGHT(D3,LEN(D3)-FIND("-",LEFT(D3,FIND("-",D3))))</f>
        <v>HP-1548</v>
      </c>
      <c r="G3" s="5" t="str">
        <f>LEFT(F3,FIND("-",F3)-1)</f>
        <v>HP</v>
      </c>
      <c r="H3" s="5" t="str">
        <f>RIGHT(F3,LEN(F3)-FIND("-",F3))</f>
        <v>1548</v>
      </c>
    </row>
    <row r="4" spans="4:8" x14ac:dyDescent="0.35">
      <c r="D4" s="4" t="s">
        <v>2</v>
      </c>
      <c r="E4" s="5" t="str">
        <f t="shared" ref="E4:E12" si="0">LEFT(D4,FIND("-",D4)-1)</f>
        <v>MOBILE</v>
      </c>
      <c r="F4" s="5" t="str">
        <f>RIGHT(D4,LEN(D4)-FIND("-",LEFT(D4,FIND("-",D4))))</f>
        <v>SAMSUNG-99875</v>
      </c>
      <c r="G4" s="5" t="str">
        <f>LEFT(F4,FIND("-",F4)-1)</f>
        <v>SAMSUNG</v>
      </c>
      <c r="H4" s="5" t="str">
        <f t="shared" ref="H4:H12" si="1">RIGHT(F4,LEN(F4)-FIND("-",F4))</f>
        <v>99875</v>
      </c>
    </row>
    <row r="5" spans="4:8" x14ac:dyDescent="0.35">
      <c r="D5" s="4" t="s">
        <v>3</v>
      </c>
      <c r="E5" s="5" t="str">
        <f t="shared" si="0"/>
        <v>TV</v>
      </c>
      <c r="F5" s="5" t="str">
        <f t="shared" ref="F4:F12" si="2">RIGHT(D5,LEN(D5)-FIND("-",LEFT(D5,FIND("-",D5))))</f>
        <v>LG-987</v>
      </c>
      <c r="G5" s="5" t="str">
        <f t="shared" ref="G4:G12" si="3">LEFT(F5,FIND("-",F5)-1)</f>
        <v>LG</v>
      </c>
      <c r="H5" s="5" t="str">
        <f t="shared" si="1"/>
        <v>987</v>
      </c>
    </row>
    <row r="6" spans="4:8" x14ac:dyDescent="0.35">
      <c r="D6" s="4" t="s">
        <v>4</v>
      </c>
      <c r="E6" s="5" t="str">
        <f t="shared" si="0"/>
        <v>MONITOR</v>
      </c>
      <c r="F6" s="5" t="str">
        <f t="shared" si="2"/>
        <v>DELL-65432</v>
      </c>
      <c r="G6" s="5" t="str">
        <f t="shared" si="3"/>
        <v>DELL</v>
      </c>
      <c r="H6" s="5" t="str">
        <f t="shared" si="1"/>
        <v>65432</v>
      </c>
    </row>
    <row r="7" spans="4:8" x14ac:dyDescent="0.35">
      <c r="D7" s="4" t="s">
        <v>5</v>
      </c>
      <c r="E7" s="5" t="str">
        <f t="shared" si="0"/>
        <v>KEYBOARD</v>
      </c>
      <c r="F7" s="5" t="str">
        <f t="shared" si="2"/>
        <v>LOGITECH-4589</v>
      </c>
      <c r="G7" s="5" t="str">
        <f t="shared" si="3"/>
        <v>LOGITECH</v>
      </c>
      <c r="H7" s="5" t="str">
        <f t="shared" si="1"/>
        <v>4589</v>
      </c>
    </row>
    <row r="8" spans="4:8" x14ac:dyDescent="0.35">
      <c r="D8" s="4" t="s">
        <v>6</v>
      </c>
      <c r="E8" s="5" t="str">
        <f t="shared" si="0"/>
        <v>MOUSE</v>
      </c>
      <c r="F8" s="5" t="str">
        <f t="shared" si="2"/>
        <v>HP-321</v>
      </c>
      <c r="G8" s="5" t="str">
        <f t="shared" si="3"/>
        <v>HP</v>
      </c>
      <c r="H8" s="5" t="str">
        <f t="shared" si="1"/>
        <v>321</v>
      </c>
    </row>
    <row r="9" spans="4:8" x14ac:dyDescent="0.35">
      <c r="D9" s="4" t="s">
        <v>7</v>
      </c>
      <c r="E9" s="5" t="str">
        <f t="shared" si="0"/>
        <v>SSD</v>
      </c>
      <c r="F9" s="5" t="str">
        <f t="shared" si="2"/>
        <v>KINGSTON-85421</v>
      </c>
      <c r="G9" s="5" t="str">
        <f t="shared" si="3"/>
        <v>KINGSTON</v>
      </c>
      <c r="H9" s="5" t="str">
        <f t="shared" si="1"/>
        <v>85421</v>
      </c>
    </row>
    <row r="10" spans="4:8" x14ac:dyDescent="0.35">
      <c r="D10" s="4" t="s">
        <v>8</v>
      </c>
      <c r="E10" s="5" t="str">
        <f t="shared" si="0"/>
        <v>HDD</v>
      </c>
      <c r="F10" s="5" t="str">
        <f t="shared" si="2"/>
        <v>SEAGATE-777</v>
      </c>
      <c r="G10" s="5" t="str">
        <f t="shared" si="3"/>
        <v>SEAGATE</v>
      </c>
      <c r="H10" s="5" t="str">
        <f t="shared" si="1"/>
        <v>777</v>
      </c>
    </row>
    <row r="11" spans="4:8" x14ac:dyDescent="0.35">
      <c r="D11" s="4" t="s">
        <v>9</v>
      </c>
      <c r="E11" s="5" t="str">
        <f t="shared" si="0"/>
        <v>CAMERA</v>
      </c>
      <c r="F11" s="5" t="str">
        <f t="shared" si="2"/>
        <v>CANON-95124</v>
      </c>
      <c r="G11" s="5" t="str">
        <f t="shared" si="3"/>
        <v>CANON</v>
      </c>
      <c r="H11" s="5" t="str">
        <f t="shared" si="1"/>
        <v>95124</v>
      </c>
    </row>
    <row r="12" spans="4:8" x14ac:dyDescent="0.35">
      <c r="D12" s="4" t="s">
        <v>10</v>
      </c>
      <c r="E12" s="5" t="str">
        <f t="shared" si="0"/>
        <v>TABLET</v>
      </c>
      <c r="F12" s="5" t="str">
        <f t="shared" si="2"/>
        <v>APPLE-2026</v>
      </c>
      <c r="G12" s="5" t="str">
        <f t="shared" si="3"/>
        <v>APPLE</v>
      </c>
      <c r="H12" s="5" t="str">
        <f t="shared" si="1"/>
        <v>2026</v>
      </c>
    </row>
  </sheetData>
  <pageMargins left="0.7" right="0.7" top="0.75" bottom="0.75" header="0.3" footer="0.3"/>
  <ignoredErrors>
    <ignoredError sqref="F3:F1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0727-9876-4080-8FB2-1C7343E576DF}">
  <dimension ref="D2:J12"/>
  <sheetViews>
    <sheetView workbookViewId="0">
      <selection activeCell="K2" sqref="K2"/>
    </sheetView>
  </sheetViews>
  <sheetFormatPr defaultRowHeight="14.5" x14ac:dyDescent="0.35"/>
  <cols>
    <col min="4" max="4" width="18.08984375" bestFit="1" customWidth="1"/>
    <col min="6" max="6" width="13.6328125" bestFit="1" customWidth="1"/>
    <col min="7" max="7" width="10.90625" bestFit="1" customWidth="1"/>
    <col min="8" max="8" width="10.1796875" bestFit="1" customWidth="1"/>
    <col min="9" max="9" width="10.81640625" bestFit="1" customWidth="1"/>
    <col min="10" max="10" width="8.6328125" bestFit="1" customWidth="1"/>
  </cols>
  <sheetData>
    <row r="2" spans="4:10" x14ac:dyDescent="0.35">
      <c r="D2" s="1" t="s">
        <v>15</v>
      </c>
      <c r="E2" s="6" t="s">
        <v>26</v>
      </c>
      <c r="F2" s="6" t="s">
        <v>27</v>
      </c>
      <c r="G2" s="6" t="s">
        <v>28</v>
      </c>
      <c r="H2" s="6" t="s">
        <v>27</v>
      </c>
      <c r="I2" s="6" t="s">
        <v>29</v>
      </c>
      <c r="J2" s="6" t="s">
        <v>30</v>
      </c>
    </row>
    <row r="3" spans="4:10" x14ac:dyDescent="0.35">
      <c r="D3" s="2" t="s">
        <v>16</v>
      </c>
      <c r="E3" t="str">
        <f>LEFT(D3,FIND("-",D3)-1)</f>
        <v>EMP</v>
      </c>
      <c r="F3" t="str">
        <f>RIGHT(D3,LEN(D3)-FIND("-",D3))</f>
        <v>IT-4589-GUJ</v>
      </c>
      <c r="G3" t="str">
        <f>LEFT(F3,FIND("-",F3)-1)</f>
        <v>IT</v>
      </c>
      <c r="H3" t="str">
        <f>RIGHT(F3,LEN(F3)-FIND("-",F3))</f>
        <v>4589-GUJ</v>
      </c>
      <c r="I3" t="str">
        <f>LEFT(H3,FIND("-",H3)-1)</f>
        <v>4589</v>
      </c>
      <c r="J3" t="str">
        <f>RIGHT(H3,LEN(H3)-FIND("-",H3))</f>
        <v>GUJ</v>
      </c>
    </row>
    <row r="4" spans="4:10" x14ac:dyDescent="0.35">
      <c r="D4" s="2" t="s">
        <v>17</v>
      </c>
      <c r="E4" t="str">
        <f t="shared" ref="E4:E12" si="0">LEFT(D4,FIND("-",D4)-1)</f>
        <v>EMP</v>
      </c>
      <c r="F4" t="str">
        <f>RIGHT(D4,LEN(D4)-FIND("-",D4))</f>
        <v>HR-7894-DEL</v>
      </c>
      <c r="G4" t="str">
        <f t="shared" ref="G4:G12" si="1">LEFT(F4,FIND("-",F4)-1)</f>
        <v>HR</v>
      </c>
      <c r="H4" t="str">
        <f t="shared" ref="H4:H12" si="2">RIGHT(F4,LEN(F4)-FIND("-",F4))</f>
        <v>7894-DEL</v>
      </c>
      <c r="I4" t="str">
        <f t="shared" ref="I4:I12" si="3">LEFT(H4,FIND("-",H4)-1)</f>
        <v>7894</v>
      </c>
      <c r="J4" t="str">
        <f t="shared" ref="J4:J12" si="4">RIGHT(H4,LEN(H4)-FIND("-",H4))</f>
        <v>DEL</v>
      </c>
    </row>
    <row r="5" spans="4:10" x14ac:dyDescent="0.35">
      <c r="D5" s="2" t="s">
        <v>18</v>
      </c>
      <c r="E5" t="str">
        <f t="shared" si="0"/>
        <v>EMP</v>
      </c>
      <c r="F5" t="str">
        <f t="shared" ref="F4:G12" si="5">RIGHT(D5,LEN(D5)-FIND("-",D5))</f>
        <v>FIN-1234-MUM</v>
      </c>
      <c r="G5" t="str">
        <f t="shared" si="1"/>
        <v>FIN</v>
      </c>
      <c r="H5" t="str">
        <f t="shared" si="2"/>
        <v>1234-MUM</v>
      </c>
      <c r="I5" t="str">
        <f t="shared" si="3"/>
        <v>1234</v>
      </c>
      <c r="J5" t="str">
        <f t="shared" si="4"/>
        <v>MUM</v>
      </c>
    </row>
    <row r="6" spans="4:10" x14ac:dyDescent="0.35">
      <c r="D6" s="2" t="s">
        <v>19</v>
      </c>
      <c r="E6" t="str">
        <f t="shared" si="0"/>
        <v>EMP</v>
      </c>
      <c r="F6" t="str">
        <f t="shared" si="5"/>
        <v>MKT-8855-BLR</v>
      </c>
      <c r="G6" t="str">
        <f t="shared" si="1"/>
        <v>MKT</v>
      </c>
      <c r="H6" t="str">
        <f t="shared" si="2"/>
        <v>8855-BLR</v>
      </c>
      <c r="I6" t="str">
        <f t="shared" si="3"/>
        <v>8855</v>
      </c>
      <c r="J6" t="str">
        <f t="shared" si="4"/>
        <v>BLR</v>
      </c>
    </row>
    <row r="7" spans="4:10" x14ac:dyDescent="0.35">
      <c r="D7" s="2" t="s">
        <v>20</v>
      </c>
      <c r="E7" t="str">
        <f t="shared" si="0"/>
        <v>EMP</v>
      </c>
      <c r="F7" t="str">
        <f t="shared" si="5"/>
        <v>DS-4567-HYD</v>
      </c>
      <c r="G7" t="str">
        <f t="shared" si="1"/>
        <v>DS</v>
      </c>
      <c r="H7" t="str">
        <f t="shared" si="2"/>
        <v>4567-HYD</v>
      </c>
      <c r="I7" t="str">
        <f t="shared" si="3"/>
        <v>4567</v>
      </c>
      <c r="J7" t="str">
        <f t="shared" si="4"/>
        <v>HYD</v>
      </c>
    </row>
    <row r="8" spans="4:10" x14ac:dyDescent="0.35">
      <c r="D8" s="2" t="s">
        <v>21</v>
      </c>
      <c r="E8" t="str">
        <f t="shared" si="0"/>
        <v>EMP</v>
      </c>
      <c r="F8" t="str">
        <f t="shared" si="5"/>
        <v>AI-9988-PUN</v>
      </c>
      <c r="G8" t="str">
        <f t="shared" si="1"/>
        <v>AI</v>
      </c>
      <c r="H8" t="str">
        <f t="shared" si="2"/>
        <v>9988-PUN</v>
      </c>
      <c r="I8" t="str">
        <f t="shared" si="3"/>
        <v>9988</v>
      </c>
      <c r="J8" t="str">
        <f t="shared" si="4"/>
        <v>PUN</v>
      </c>
    </row>
    <row r="9" spans="4:10" x14ac:dyDescent="0.35">
      <c r="D9" s="2" t="s">
        <v>22</v>
      </c>
      <c r="E9" t="str">
        <f t="shared" si="0"/>
        <v>EMP</v>
      </c>
      <c r="F9" t="str">
        <f t="shared" si="5"/>
        <v>QA-7854-JAI</v>
      </c>
      <c r="G9" t="str">
        <f t="shared" si="1"/>
        <v>QA</v>
      </c>
      <c r="H9" t="str">
        <f t="shared" si="2"/>
        <v>7854-JAI</v>
      </c>
      <c r="I9" t="str">
        <f t="shared" si="3"/>
        <v>7854</v>
      </c>
      <c r="J9" t="str">
        <f t="shared" si="4"/>
        <v>JAI</v>
      </c>
    </row>
    <row r="10" spans="4:10" x14ac:dyDescent="0.35">
      <c r="D10" s="2" t="s">
        <v>23</v>
      </c>
      <c r="E10" t="str">
        <f t="shared" si="0"/>
        <v>EMP</v>
      </c>
      <c r="F10" t="str">
        <f t="shared" si="5"/>
        <v>UX-3321-SUR</v>
      </c>
      <c r="G10" t="str">
        <f t="shared" si="1"/>
        <v>UX</v>
      </c>
      <c r="H10" t="str">
        <f t="shared" si="2"/>
        <v>3321-SUR</v>
      </c>
      <c r="I10" t="str">
        <f t="shared" si="3"/>
        <v>3321</v>
      </c>
      <c r="J10" t="str">
        <f t="shared" si="4"/>
        <v>SUR</v>
      </c>
    </row>
    <row r="11" spans="4:10" x14ac:dyDescent="0.35">
      <c r="D11" s="2" t="s">
        <v>24</v>
      </c>
      <c r="E11" t="str">
        <f t="shared" si="0"/>
        <v>EMP</v>
      </c>
      <c r="F11" t="str">
        <f t="shared" si="5"/>
        <v>BA-6512-RAJ</v>
      </c>
      <c r="G11" t="str">
        <f t="shared" si="1"/>
        <v>BA</v>
      </c>
      <c r="H11" t="str">
        <f t="shared" si="2"/>
        <v>6512-RAJ</v>
      </c>
      <c r="I11" t="str">
        <f t="shared" si="3"/>
        <v>6512</v>
      </c>
      <c r="J11" t="str">
        <f t="shared" si="4"/>
        <v>RAJ</v>
      </c>
    </row>
    <row r="12" spans="4:10" x14ac:dyDescent="0.35">
      <c r="D12" s="2" t="s">
        <v>25</v>
      </c>
      <c r="E12" t="str">
        <f t="shared" si="0"/>
        <v>EMP</v>
      </c>
      <c r="F12" t="str">
        <f t="shared" si="5"/>
        <v>DEV-1001-GOA</v>
      </c>
      <c r="G12" t="str">
        <f t="shared" si="1"/>
        <v>DEV</v>
      </c>
      <c r="H12" t="str">
        <f t="shared" si="2"/>
        <v>1001-GOA</v>
      </c>
      <c r="I12" t="str">
        <f t="shared" si="3"/>
        <v>1001</v>
      </c>
      <c r="J12" t="str">
        <f t="shared" si="4"/>
        <v>GOA</v>
      </c>
    </row>
  </sheetData>
  <pageMargins left="0.7" right="0.7" top="0.75" bottom="0.75" header="0.3" footer="0.3"/>
  <ignoredErrors>
    <ignoredError sqref="F3:F12 G3:G12 H3:H12 I3:I1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EFA72-5773-47A6-BB2D-A22A8E0A4A10}">
  <dimension ref="D2:F12"/>
  <sheetViews>
    <sheetView workbookViewId="0">
      <selection activeCell="F3" sqref="F3:F12"/>
    </sheetView>
  </sheetViews>
  <sheetFormatPr defaultRowHeight="14.5" x14ac:dyDescent="0.35"/>
  <cols>
    <col min="4" max="4" width="22.36328125" bestFit="1" customWidth="1"/>
    <col min="5" max="5" width="21.81640625" bestFit="1" customWidth="1"/>
    <col min="6" max="6" width="12.1796875" bestFit="1" customWidth="1"/>
  </cols>
  <sheetData>
    <row r="2" spans="4:6" x14ac:dyDescent="0.35">
      <c r="D2" s="1" t="s">
        <v>31</v>
      </c>
      <c r="E2" s="1" t="s">
        <v>42</v>
      </c>
      <c r="F2" s="1" t="s">
        <v>43</v>
      </c>
    </row>
    <row r="3" spans="4:6" x14ac:dyDescent="0.35">
      <c r="D3" s="2" t="s">
        <v>32</v>
      </c>
      <c r="E3" t="str">
        <f>LEFT(D3,FIND(".",D3)-1)</f>
        <v>report_final_v1</v>
      </c>
      <c r="F3" t="str">
        <f>RIGHT(D3,LEN(D3)-FIND(".",D3))</f>
        <v>pdf</v>
      </c>
    </row>
    <row r="4" spans="4:6" x14ac:dyDescent="0.35">
      <c r="D4" s="2" t="s">
        <v>33</v>
      </c>
      <c r="E4" t="str">
        <f t="shared" ref="E4:E12" si="0">LEFT(D4,FIND(".",D4)-1)</f>
        <v>sales_data_2026</v>
      </c>
      <c r="F4" t="str">
        <f t="shared" ref="F4:F12" si="1">RIGHT(D4,LEN(D4)-FIND(".",D4))</f>
        <v>xlsx</v>
      </c>
    </row>
    <row r="5" spans="4:6" x14ac:dyDescent="0.35">
      <c r="D5" s="2" t="s">
        <v>34</v>
      </c>
      <c r="E5" t="str">
        <f t="shared" si="0"/>
        <v>employee_list</v>
      </c>
      <c r="F5" t="str">
        <f t="shared" si="1"/>
        <v>csv</v>
      </c>
    </row>
    <row r="6" spans="4:6" x14ac:dyDescent="0.35">
      <c r="D6" s="2" t="s">
        <v>35</v>
      </c>
      <c r="E6" t="str">
        <f t="shared" si="0"/>
        <v>presentation_final</v>
      </c>
      <c r="F6" t="str">
        <f t="shared" si="1"/>
        <v>pptx</v>
      </c>
    </row>
    <row r="7" spans="4:6" x14ac:dyDescent="0.35">
      <c r="D7" s="2" t="s">
        <v>36</v>
      </c>
      <c r="E7" t="str">
        <f t="shared" si="0"/>
        <v>photo_profile</v>
      </c>
      <c r="F7" t="str">
        <f t="shared" si="1"/>
        <v>jpg</v>
      </c>
    </row>
    <row r="8" spans="4:6" x14ac:dyDescent="0.35">
      <c r="D8" s="2" t="s">
        <v>37</v>
      </c>
      <c r="E8" t="str">
        <f t="shared" si="0"/>
        <v>notes_backup</v>
      </c>
      <c r="F8" t="str">
        <f t="shared" si="1"/>
        <v>docx</v>
      </c>
    </row>
    <row r="9" spans="4:6" x14ac:dyDescent="0.35">
      <c r="D9" s="2" t="s">
        <v>38</v>
      </c>
      <c r="E9" t="str">
        <f t="shared" si="0"/>
        <v>python_project</v>
      </c>
      <c r="F9" t="str">
        <f t="shared" si="1"/>
        <v>zip</v>
      </c>
    </row>
    <row r="10" spans="4:6" x14ac:dyDescent="0.35">
      <c r="D10" s="2" t="s">
        <v>39</v>
      </c>
      <c r="E10" t="str">
        <f t="shared" si="0"/>
        <v>movie_list</v>
      </c>
      <c r="F10" t="str">
        <f t="shared" si="1"/>
        <v>txt</v>
      </c>
    </row>
    <row r="11" spans="4:6" x14ac:dyDescent="0.35">
      <c r="D11" s="2" t="s">
        <v>40</v>
      </c>
      <c r="E11" t="str">
        <f t="shared" si="0"/>
        <v>database_export</v>
      </c>
      <c r="F11" t="str">
        <f t="shared" si="1"/>
        <v>sql</v>
      </c>
    </row>
    <row r="12" spans="4:6" x14ac:dyDescent="0.35">
      <c r="D12" s="2" t="s">
        <v>41</v>
      </c>
      <c r="E12" t="str">
        <f t="shared" si="0"/>
        <v>analytics_dashboard</v>
      </c>
      <c r="F12" t="str">
        <f t="shared" si="1"/>
        <v>pbix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C1DE9-B7DE-45BE-B2B5-DC2CA9EF8AEE}">
  <dimension ref="D2:J12"/>
  <sheetViews>
    <sheetView tabSelected="1" workbookViewId="0">
      <selection activeCell="J3" sqref="J3:J12"/>
    </sheetView>
  </sheetViews>
  <sheetFormatPr defaultRowHeight="14.5" x14ac:dyDescent="0.35"/>
  <cols>
    <col min="4" max="4" width="22.81640625" bestFit="1" customWidth="1"/>
    <col min="5" max="5" width="7.7265625" bestFit="1" customWidth="1"/>
    <col min="6" max="6" width="13.453125" bestFit="1" customWidth="1"/>
    <col min="7" max="7" width="7.90625" bestFit="1" customWidth="1"/>
    <col min="8" max="8" width="10.453125" bestFit="1" customWidth="1"/>
    <col min="9" max="9" width="16.81640625" bestFit="1" customWidth="1"/>
    <col min="10" max="10" width="11.08984375" bestFit="1" customWidth="1"/>
  </cols>
  <sheetData>
    <row r="2" spans="4:10" x14ac:dyDescent="0.35">
      <c r="D2" s="1" t="s">
        <v>44</v>
      </c>
      <c r="E2" s="1" t="s">
        <v>54</v>
      </c>
      <c r="F2" s="1" t="s">
        <v>55</v>
      </c>
      <c r="G2" s="1" t="s">
        <v>57</v>
      </c>
      <c r="H2" s="1" t="s">
        <v>56</v>
      </c>
      <c r="I2" s="1" t="s">
        <v>58</v>
      </c>
      <c r="J2" s="1" t="s">
        <v>59</v>
      </c>
    </row>
    <row r="3" spans="4:10" x14ac:dyDescent="0.35">
      <c r="D3" s="2" t="s">
        <v>45</v>
      </c>
      <c r="E3">
        <f>LEN(D3)-LEN(SUBSTITUTE(D3,"-",""))</f>
        <v>3</v>
      </c>
      <c r="F3">
        <f>LEN(D3)-LEN(SUBSTITUTE(D3,"_",""))</f>
        <v>0</v>
      </c>
      <c r="G3">
        <f>LEN(D3)-LEN(SUBSTITUTE(D3,".",""))</f>
        <v>0</v>
      </c>
      <c r="H3" t="str">
        <f>IF(E3&gt;0,"Hyphen",IF(F3&gt;0,IF(G3&gt;0,"File","Underscore"),"Unknown"))</f>
        <v>Hyphen</v>
      </c>
      <c r="I3" t="str">
        <f>IF(H3="File","File",
IF(AND(H3="Hyphen",E3=3),"Hyphen-4 Parts",
IF(AND(H3="Hyphen",E3=2),"Hyphen-3 Parts",
IF(AND(H3="Underscore",F3=3),"Underscore-4 Parts",
IF(AND(H3="Underscore",F3=2),"Underscore-3 Parts",
"Other")))))</f>
        <v>Hyphen-4 Parts</v>
      </c>
      <c r="J3" t="str">
        <f>IF(LEFT(D3,3)="INV","Invoice",
IF(LEFT(D3,3)="EMP","Employee",
IF(LEFT(D3,3)="ORD","Order",
IF(RIGHT(D3,4)=".pdf","PDF File",
IF(RIGHT(D3,5)=".xlsx","Excel File",
IF(LEFT(D3,4)="DATA","Course",
IF(LEFT(D3,6)="PYTHON","Course",
IF(LEFT(D3,2)="AI","Course","Other"))))))))</f>
        <v>Invoice</v>
      </c>
    </row>
    <row r="4" spans="4:10" x14ac:dyDescent="0.35">
      <c r="D4" s="2" t="s">
        <v>46</v>
      </c>
      <c r="E4">
        <f t="shared" ref="E4:E12" si="0">LEN(D4)-LEN(SUBSTITUTE(D4,"-",""))</f>
        <v>2</v>
      </c>
      <c r="F4">
        <f t="shared" ref="F4:F12" si="1">LEN(D4)-LEN(SUBSTITUTE(D4,"_",""))</f>
        <v>0</v>
      </c>
      <c r="G4">
        <f t="shared" ref="G4:G12" si="2">LEN(D4)-LEN(SUBSTITUTE(D4,".",""))</f>
        <v>0</v>
      </c>
      <c r="H4" t="str">
        <f t="shared" ref="H4:H12" si="3">IF(E4&gt;0,"Hyphen",IF(F4&gt;0,IF(G4&gt;0,"File","Underscore"),"Unknown"))</f>
        <v>Hyphen</v>
      </c>
      <c r="I4" t="str">
        <f t="shared" ref="I4:I12" si="4">IF(H4="File","File",
IF(AND(H4="Hyphen",E4=3),"Hyphen-4 Parts",
IF(AND(H4="Hyphen",E4=2),"Hyphen-3 Parts",
IF(AND(H4="Underscore",F4=3),"Underscore-4 Parts",
IF(AND(H4="Underscore",F4=2),"Underscore-3 Parts",
"Other")))))</f>
        <v>Hyphen-3 Parts</v>
      </c>
      <c r="J4" t="str">
        <f t="shared" ref="J4:J12" si="5">IF(LEFT(D4,3)="INV","Invoice",
IF(LEFT(D4,3)="EMP","Employee",
IF(LEFT(D4,3)="ORD","Order",
IF(RIGHT(D4,4)=".pdf","PDF File",
IF(RIGHT(D4,5)=".xlsx","Excel File",
IF(LEFT(D4,4)="DATA","Course",
IF(LEFT(D4,6)="PYTHON","Course",
IF(LEFT(D4,2)="AI","Course","Other"))))))))</f>
        <v>Order</v>
      </c>
    </row>
    <row r="5" spans="4:10" x14ac:dyDescent="0.35">
      <c r="D5" s="2" t="s">
        <v>16</v>
      </c>
      <c r="E5">
        <f t="shared" si="0"/>
        <v>3</v>
      </c>
      <c r="F5">
        <f t="shared" si="1"/>
        <v>0</v>
      </c>
      <c r="G5">
        <f t="shared" si="2"/>
        <v>0</v>
      </c>
      <c r="H5" t="str">
        <f t="shared" si="3"/>
        <v>Hyphen</v>
      </c>
      <c r="I5" t="str">
        <f t="shared" si="4"/>
        <v>Hyphen-4 Parts</v>
      </c>
      <c r="J5" t="str">
        <f t="shared" si="5"/>
        <v>Employee</v>
      </c>
    </row>
    <row r="6" spans="4:10" x14ac:dyDescent="0.35">
      <c r="D6" s="2" t="s">
        <v>47</v>
      </c>
      <c r="E6">
        <f t="shared" si="0"/>
        <v>0</v>
      </c>
      <c r="F6">
        <f t="shared" si="1"/>
        <v>2</v>
      </c>
      <c r="G6">
        <f t="shared" si="2"/>
        <v>0</v>
      </c>
      <c r="H6" t="str">
        <f t="shared" si="3"/>
        <v>Underscore</v>
      </c>
      <c r="I6" t="str">
        <f t="shared" si="4"/>
        <v>Underscore-3 Parts</v>
      </c>
      <c r="J6" t="str">
        <f t="shared" si="5"/>
        <v>Course</v>
      </c>
    </row>
    <row r="7" spans="4:10" x14ac:dyDescent="0.35">
      <c r="D7" s="2" t="s">
        <v>48</v>
      </c>
      <c r="E7">
        <f t="shared" si="0"/>
        <v>2</v>
      </c>
      <c r="F7">
        <f t="shared" si="1"/>
        <v>0</v>
      </c>
      <c r="G7">
        <f t="shared" si="2"/>
        <v>0</v>
      </c>
      <c r="H7" t="str">
        <f t="shared" si="3"/>
        <v>Hyphen</v>
      </c>
      <c r="I7" t="str">
        <f t="shared" si="4"/>
        <v>Hyphen-3 Parts</v>
      </c>
      <c r="J7" t="str">
        <f t="shared" si="5"/>
        <v>Other</v>
      </c>
    </row>
    <row r="8" spans="4:10" x14ac:dyDescent="0.35">
      <c r="D8" s="2" t="s">
        <v>49</v>
      </c>
      <c r="E8">
        <f t="shared" si="0"/>
        <v>0</v>
      </c>
      <c r="F8">
        <f t="shared" si="1"/>
        <v>2</v>
      </c>
      <c r="G8">
        <f t="shared" si="2"/>
        <v>0</v>
      </c>
      <c r="H8" t="str">
        <f t="shared" si="3"/>
        <v>Underscore</v>
      </c>
      <c r="I8" t="str">
        <f t="shared" si="4"/>
        <v>Underscore-3 Parts</v>
      </c>
      <c r="J8" t="str">
        <f t="shared" si="5"/>
        <v>Course</v>
      </c>
    </row>
    <row r="9" spans="4:10" x14ac:dyDescent="0.35">
      <c r="D9" s="2" t="s">
        <v>50</v>
      </c>
      <c r="E9">
        <f t="shared" si="0"/>
        <v>2</v>
      </c>
      <c r="F9">
        <f t="shared" si="1"/>
        <v>0</v>
      </c>
      <c r="G9">
        <f t="shared" si="2"/>
        <v>0</v>
      </c>
      <c r="H9" t="str">
        <f t="shared" si="3"/>
        <v>Hyphen</v>
      </c>
      <c r="I9" t="str">
        <f t="shared" si="4"/>
        <v>Hyphen-3 Parts</v>
      </c>
      <c r="J9" t="str">
        <f t="shared" si="5"/>
        <v>Other</v>
      </c>
    </row>
    <row r="10" spans="4:10" x14ac:dyDescent="0.35">
      <c r="D10" s="2" t="s">
        <v>51</v>
      </c>
      <c r="E10">
        <f t="shared" si="0"/>
        <v>0</v>
      </c>
      <c r="F10">
        <f t="shared" si="1"/>
        <v>2</v>
      </c>
      <c r="G10">
        <f t="shared" si="2"/>
        <v>1</v>
      </c>
      <c r="H10" t="str">
        <f t="shared" si="3"/>
        <v>File</v>
      </c>
      <c r="I10" t="str">
        <f t="shared" si="4"/>
        <v>File</v>
      </c>
      <c r="J10" t="str">
        <f t="shared" si="5"/>
        <v>PDF File</v>
      </c>
    </row>
    <row r="11" spans="4:10" x14ac:dyDescent="0.35">
      <c r="D11" s="2" t="s">
        <v>52</v>
      </c>
      <c r="E11">
        <f t="shared" si="0"/>
        <v>0</v>
      </c>
      <c r="F11">
        <f t="shared" si="1"/>
        <v>2</v>
      </c>
      <c r="G11">
        <f t="shared" si="2"/>
        <v>1</v>
      </c>
      <c r="H11" t="str">
        <f t="shared" si="3"/>
        <v>File</v>
      </c>
      <c r="I11" t="str">
        <f t="shared" si="4"/>
        <v>File</v>
      </c>
      <c r="J11" t="str">
        <f t="shared" si="5"/>
        <v>Excel File</v>
      </c>
    </row>
    <row r="12" spans="4:10" x14ac:dyDescent="0.35">
      <c r="D12" s="2" t="s">
        <v>53</v>
      </c>
      <c r="E12">
        <f t="shared" si="0"/>
        <v>0</v>
      </c>
      <c r="F12">
        <f t="shared" si="1"/>
        <v>3</v>
      </c>
      <c r="G12">
        <f t="shared" si="2"/>
        <v>0</v>
      </c>
      <c r="H12" t="str">
        <f t="shared" si="3"/>
        <v>Underscore</v>
      </c>
      <c r="I12" t="str">
        <f t="shared" si="4"/>
        <v>Underscore-4 Parts</v>
      </c>
      <c r="J12" t="str">
        <f t="shared" si="5"/>
        <v>Course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Code</vt:lpstr>
      <vt:lpstr>Employee Code</vt:lpstr>
      <vt:lpstr>File Names</vt:lpstr>
      <vt:lpstr>Interview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Nitya Gohel</dc:creator>
  <cp:lastModifiedBy>nitya gohel</cp:lastModifiedBy>
  <dcterms:created xsi:type="dcterms:W3CDTF">2015-06-05T18:17:20Z</dcterms:created>
  <dcterms:modified xsi:type="dcterms:W3CDTF">2026-06-28T12:13:33Z</dcterms:modified>
</cp:coreProperties>
</file>